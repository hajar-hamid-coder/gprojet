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re d'exécution" sheetId="1" state="visible" r:id="rId1"/>
    <sheet xmlns:r="http://schemas.openxmlformats.org/officeDocument/2006/relationships" name="P0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Hypothèses" sheetId="22" state="visible" r:id="rId22"/>
    <sheet xmlns:r="http://schemas.openxmlformats.org/officeDocument/2006/relationships" name="Légende" sheetId="23" state="visible" r:id="rId23"/>
  </sheets>
  <definedNames>
    <definedName name="_xlnm._FilterDatabase" localSheetId="0" hidden="1">'Ordre d''exécution'!$A$28:$I$176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9" fontId="5" fillId="0" borderId="0" applyAlignment="1" pivotButton="0" quotePrefix="0" xfId="0">
      <alignment horizontal="center"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9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595959"/>
        <sz val="10"/>
      </font>
      <fill>
        <patternFill patternType="solid">
          <fgColor rgb="00F2F2F2"/>
        </patternFill>
      </fill>
    </dxf>
    <dxf>
      <font>
        <name val="Arial"/>
        <b val="1"/>
        <color rgb="001F4E78"/>
        <sz val="10"/>
      </font>
      <fill>
        <patternFill patternType="solid">
          <fgColor rgb="00DDEBF7"/>
        </patternFill>
      </fill>
    </dxf>
    <dxf>
      <font>
        <name val="Arial"/>
        <b val="1"/>
        <color rgb="007F6000"/>
        <sz val="10"/>
      </font>
      <fill>
        <patternFill patternType="solid">
          <fgColor rgb="00FFF2CC"/>
        </patternFill>
      </fill>
    </dxf>
    <dxf>
      <font>
        <name val="Arial"/>
        <b val="1"/>
        <color rgb="00375623"/>
        <sz val="10"/>
      </font>
      <fill>
        <patternFill patternType="solid">
          <fgColor rgb="00E2EFDA"/>
        </patternFill>
      </fill>
    </dxf>
    <dxf>
      <font>
        <name val="Arial"/>
        <b val="1"/>
        <color rgb="00C00000"/>
        <sz val="10"/>
      </font>
      <fill>
        <patternFill patternType="solid">
          <fgColor rgb="00FCE4D6"/>
        </patternFill>
      </fill>
    </dxf>
    <dxf>
      <font>
        <name val="Arial"/>
        <b val="1"/>
        <color rgb="005B2C6F"/>
        <sz val="10"/>
      </font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Taches_P0" displayName="Taches_P0" ref="A7:J13" headerRowCount="1">
  <autoFilter ref="A7:J13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2.xml><?xml version="1.0" encoding="utf-8"?>
<table xmlns="http://schemas.openxmlformats.org/spreadsheetml/2006/main" id="2" name="Taches_P1" displayName="Taches_P1" ref="A7:J18" headerRowCount="1">
  <autoFilter ref="A7:J18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3.xml><?xml version="1.0" encoding="utf-8"?>
<table xmlns="http://schemas.openxmlformats.org/spreadsheetml/2006/main" id="3" name="Taches_P2" displayName="Taches_P2" ref="A7:J16" headerRowCount="1">
  <autoFilter ref="A7:J16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4.xml><?xml version="1.0" encoding="utf-8"?>
<table xmlns="http://schemas.openxmlformats.org/spreadsheetml/2006/main" id="4" name="Taches_P3" displayName="Taches_P3" ref="A7:J12" headerRowCount="1">
  <autoFilter ref="A7:J12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5.xml><?xml version="1.0" encoding="utf-8"?>
<table xmlns="http://schemas.openxmlformats.org/spreadsheetml/2006/main" id="5" name="Taches_P4" displayName="Taches_P4" ref="A7:J15" headerRowCount="1">
  <autoFilter ref="A7:J15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6.xml><?xml version="1.0" encoding="utf-8"?>
<table xmlns="http://schemas.openxmlformats.org/spreadsheetml/2006/main" id="6" name="Taches_P5" displayName="Taches_P5" ref="A7:J17" headerRowCount="1">
  <autoFilter ref="A7:J17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7.xml><?xml version="1.0" encoding="utf-8"?>
<table xmlns="http://schemas.openxmlformats.org/spreadsheetml/2006/main" id="7" name="Taches_P6" displayName="Taches_P6" ref="A7:J19" headerRowCount="1">
  <autoFilter ref="A7:J19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8.xml><?xml version="1.0" encoding="utf-8"?>
<table xmlns="http://schemas.openxmlformats.org/spreadsheetml/2006/main" id="8" name="Taches_P7" displayName="Taches_P7" ref="A7:J15" headerRowCount="1">
  <autoFilter ref="A7:J15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9.xml><?xml version="1.0" encoding="utf-8"?>
<table xmlns="http://schemas.openxmlformats.org/spreadsheetml/2006/main" id="9" name="Taches_P8" displayName="Taches_P8" ref="A7:J15" headerRowCount="1">
  <autoFilter ref="A7:J15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10.xml><?xml version="1.0" encoding="utf-8"?>
<table xmlns="http://schemas.openxmlformats.org/spreadsheetml/2006/main" id="10" name="Taches_P9" displayName="Taches_P9" ref="A7:J12" headerRowCount="1">
  <autoFilter ref="A7:J12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11.xml><?xml version="1.0" encoding="utf-8"?>
<table xmlns="http://schemas.openxmlformats.org/spreadsheetml/2006/main" id="11" name="Taches_P10" displayName="Taches_P10" ref="A7:J16" headerRowCount="1">
  <autoFilter ref="A7:J16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12.xml><?xml version="1.0" encoding="utf-8"?>
<table xmlns="http://schemas.openxmlformats.org/spreadsheetml/2006/main" id="12" name="Taches_P11" displayName="Taches_P11" ref="A7:J14" headerRowCount="1">
  <autoFilter ref="A7:J14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13.xml><?xml version="1.0" encoding="utf-8"?>
<table xmlns="http://schemas.openxmlformats.org/spreadsheetml/2006/main" id="13" name="Taches_P12" displayName="Taches_P12" ref="A7:J13" headerRowCount="1">
  <autoFilter ref="A7:J13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14.xml><?xml version="1.0" encoding="utf-8"?>
<table xmlns="http://schemas.openxmlformats.org/spreadsheetml/2006/main" id="14" name="Taches_P13" displayName="Taches_P13" ref="A7:J12" headerRowCount="1">
  <autoFilter ref="A7:J12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15.xml><?xml version="1.0" encoding="utf-8"?>
<table xmlns="http://schemas.openxmlformats.org/spreadsheetml/2006/main" id="15" name="Taches_P14" displayName="Taches_P14" ref="A7:J13" headerRowCount="1">
  <autoFilter ref="A7:J13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16.xml><?xml version="1.0" encoding="utf-8"?>
<table xmlns="http://schemas.openxmlformats.org/spreadsheetml/2006/main" id="16" name="Taches_P15" displayName="Taches_P15" ref="A7:J13" headerRowCount="1">
  <autoFilter ref="A7:J13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17.xml><?xml version="1.0" encoding="utf-8"?>
<table xmlns="http://schemas.openxmlformats.org/spreadsheetml/2006/main" id="17" name="Taches_P16" displayName="Taches_P16" ref="A7:J13" headerRowCount="1">
  <autoFilter ref="A7:J13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18.xml><?xml version="1.0" encoding="utf-8"?>
<table xmlns="http://schemas.openxmlformats.org/spreadsheetml/2006/main" id="18" name="Taches_P17" displayName="Taches_P17" ref="A7:J15" headerRowCount="1">
  <autoFilter ref="A7:J15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19.xml><?xml version="1.0" encoding="utf-8"?>
<table xmlns="http://schemas.openxmlformats.org/spreadsheetml/2006/main" id="19" name="Taches_P18" displayName="Taches_P18" ref="A7:J14" headerRowCount="1">
  <autoFilter ref="A7:J14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20.xml><?xml version="1.0" encoding="utf-8"?>
<table xmlns="http://schemas.openxmlformats.org/spreadsheetml/2006/main" id="20" name="Taches_P19" displayName="Taches_P19" ref="A7:J13" headerRowCount="1">
  <autoFilter ref="A7:J13"/>
  <tableColumns count="10">
    <tableColumn id="1" name="Ordre"/>
    <tableColumn id="2" name="Code"/>
    <tableColumn id="3" name="Tâche"/>
    <tableColumn id="4" name="Modèle"/>
    <tableColumn id="5" name="Dépend de"/>
    <tableColumn id="6" name="Statut"/>
    <tableColumn id="7" name="Explication"/>
    <tableColumn id="8" name="Test de validation"/>
    <tableColumn id="9" name="Retours utilisateur"/>
    <tableColumn id="10" name="Hypothèses liées"/>
  </tableColumns>
  <tableStyleInfo name="TableStyleLight1" showRowStripes="1"/>
</table>
</file>

<file path=xl/tables/table21.xml><?xml version="1.0" encoding="utf-8"?>
<table xmlns="http://schemas.openxmlformats.org/spreadsheetml/2006/main" id="21" name="Hypotheses" displayName="Hypotheses" ref="A4:I27" headerRowCount="1">
  <autoFilter ref="A4:I27"/>
  <tableColumns count="9">
    <tableColumn id="1" name="Code"/>
    <tableColumn id="2" name="Tâche"/>
    <tableColumn id="3" name="Statut"/>
    <tableColumn id="4" name="Bloquante"/>
    <tableColumn id="5" name="Date"/>
    <tableColumn id="6" name="Question"/>
    <tableColumn id="7" name="Hypothèse par défaut"/>
    <tableColumn id="8" name="Impact si fausse"/>
    <tableColumn id="9" name="Réponse utilisateu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0'!A1" TargetMode="External" Id="rId1"/><Relationship Type="http://schemas.openxmlformats.org/officeDocument/2006/relationships/hyperlink" Target="#'P1'!A1" TargetMode="External" Id="rId2"/><Relationship Type="http://schemas.openxmlformats.org/officeDocument/2006/relationships/hyperlink" Target="#'P2'!A1" TargetMode="External" Id="rId3"/><Relationship Type="http://schemas.openxmlformats.org/officeDocument/2006/relationships/hyperlink" Target="#'P3'!A1" TargetMode="External" Id="rId4"/><Relationship Type="http://schemas.openxmlformats.org/officeDocument/2006/relationships/hyperlink" Target="#'P4'!A1" TargetMode="External" Id="rId5"/><Relationship Type="http://schemas.openxmlformats.org/officeDocument/2006/relationships/hyperlink" Target="#'P5'!A1" TargetMode="External" Id="rId6"/><Relationship Type="http://schemas.openxmlformats.org/officeDocument/2006/relationships/hyperlink" Target="#'P6'!A1" TargetMode="External" Id="rId7"/><Relationship Type="http://schemas.openxmlformats.org/officeDocument/2006/relationships/hyperlink" Target="#'P7'!A1" TargetMode="External" Id="rId8"/><Relationship Type="http://schemas.openxmlformats.org/officeDocument/2006/relationships/hyperlink" Target="#'P8'!A1" TargetMode="External" Id="rId9"/><Relationship Type="http://schemas.openxmlformats.org/officeDocument/2006/relationships/hyperlink" Target="#'P9'!A1" TargetMode="External" Id="rId10"/><Relationship Type="http://schemas.openxmlformats.org/officeDocument/2006/relationships/hyperlink" Target="#'P10'!A1" TargetMode="External" Id="rId11"/><Relationship Type="http://schemas.openxmlformats.org/officeDocument/2006/relationships/hyperlink" Target="#'P11'!A1" TargetMode="External" Id="rId12"/><Relationship Type="http://schemas.openxmlformats.org/officeDocument/2006/relationships/hyperlink" Target="#'P12'!A1" TargetMode="External" Id="rId13"/><Relationship Type="http://schemas.openxmlformats.org/officeDocument/2006/relationships/hyperlink" Target="#'P13'!A1" TargetMode="External" Id="rId14"/><Relationship Type="http://schemas.openxmlformats.org/officeDocument/2006/relationships/hyperlink" Target="#'P14'!A1" TargetMode="External" Id="rId15"/><Relationship Type="http://schemas.openxmlformats.org/officeDocument/2006/relationships/hyperlink" Target="#'P15'!A1" TargetMode="External" Id="rId16"/><Relationship Type="http://schemas.openxmlformats.org/officeDocument/2006/relationships/hyperlink" Target="#'P16'!A1" TargetMode="External" Id="rId17"/><Relationship Type="http://schemas.openxmlformats.org/officeDocument/2006/relationships/hyperlink" Target="#'P17'!A1" TargetMode="External" Id="rId18"/><Relationship Type="http://schemas.openxmlformats.org/officeDocument/2006/relationships/hyperlink" Target="#'P18'!A1" TargetMode="External" Id="rId19"/><Relationship Type="http://schemas.openxmlformats.org/officeDocument/2006/relationships/hyperlink" Target="#'P19'!A1" TargetMode="External" Id="rId20"/><Relationship Type="http://schemas.openxmlformats.org/officeDocument/2006/relationships/hyperlink" Target="#'P0'!A1" TargetMode="External" Id="rId21"/><Relationship Type="http://schemas.openxmlformats.org/officeDocument/2006/relationships/hyperlink" Target="#'P0'!A1" TargetMode="External" Id="rId22"/><Relationship Type="http://schemas.openxmlformats.org/officeDocument/2006/relationships/hyperlink" Target="#'P0'!A1" TargetMode="External" Id="rId23"/><Relationship Type="http://schemas.openxmlformats.org/officeDocument/2006/relationships/hyperlink" Target="#'P0'!A1" TargetMode="External" Id="rId24"/><Relationship Type="http://schemas.openxmlformats.org/officeDocument/2006/relationships/hyperlink" Target="#'P0'!A1" TargetMode="External" Id="rId25"/><Relationship Type="http://schemas.openxmlformats.org/officeDocument/2006/relationships/hyperlink" Target="#'P0'!A1" TargetMode="External" Id="rId26"/><Relationship Type="http://schemas.openxmlformats.org/officeDocument/2006/relationships/hyperlink" Target="#'P1'!A1" TargetMode="External" Id="rId27"/><Relationship Type="http://schemas.openxmlformats.org/officeDocument/2006/relationships/hyperlink" Target="#'P1'!A1" TargetMode="External" Id="rId28"/><Relationship Type="http://schemas.openxmlformats.org/officeDocument/2006/relationships/hyperlink" Target="#'P1'!A1" TargetMode="External" Id="rId29"/><Relationship Type="http://schemas.openxmlformats.org/officeDocument/2006/relationships/hyperlink" Target="#'P1'!A1" TargetMode="External" Id="rId30"/><Relationship Type="http://schemas.openxmlformats.org/officeDocument/2006/relationships/hyperlink" Target="#'P1'!A1" TargetMode="External" Id="rId31"/><Relationship Type="http://schemas.openxmlformats.org/officeDocument/2006/relationships/hyperlink" Target="#'P1'!A1" TargetMode="External" Id="rId32"/><Relationship Type="http://schemas.openxmlformats.org/officeDocument/2006/relationships/hyperlink" Target="#'P1'!A1" TargetMode="External" Id="rId33"/><Relationship Type="http://schemas.openxmlformats.org/officeDocument/2006/relationships/hyperlink" Target="#'P1'!A1" TargetMode="External" Id="rId34"/><Relationship Type="http://schemas.openxmlformats.org/officeDocument/2006/relationships/hyperlink" Target="#'P1'!A1" TargetMode="External" Id="rId35"/><Relationship Type="http://schemas.openxmlformats.org/officeDocument/2006/relationships/hyperlink" Target="#'P1'!A1" TargetMode="External" Id="rId36"/><Relationship Type="http://schemas.openxmlformats.org/officeDocument/2006/relationships/hyperlink" Target="#'P1'!A1" TargetMode="External" Id="rId37"/><Relationship Type="http://schemas.openxmlformats.org/officeDocument/2006/relationships/hyperlink" Target="#'P2'!A1" TargetMode="External" Id="rId38"/><Relationship Type="http://schemas.openxmlformats.org/officeDocument/2006/relationships/hyperlink" Target="#'P2'!A1" TargetMode="External" Id="rId39"/><Relationship Type="http://schemas.openxmlformats.org/officeDocument/2006/relationships/hyperlink" Target="#'P2'!A1" TargetMode="External" Id="rId40"/><Relationship Type="http://schemas.openxmlformats.org/officeDocument/2006/relationships/hyperlink" Target="#'P2'!A1" TargetMode="External" Id="rId41"/><Relationship Type="http://schemas.openxmlformats.org/officeDocument/2006/relationships/hyperlink" Target="#'P2'!A1" TargetMode="External" Id="rId42"/><Relationship Type="http://schemas.openxmlformats.org/officeDocument/2006/relationships/hyperlink" Target="#'P2'!A1" TargetMode="External" Id="rId43"/><Relationship Type="http://schemas.openxmlformats.org/officeDocument/2006/relationships/hyperlink" Target="#'P2'!A1" TargetMode="External" Id="rId44"/><Relationship Type="http://schemas.openxmlformats.org/officeDocument/2006/relationships/hyperlink" Target="#'P2'!A1" TargetMode="External" Id="rId45"/><Relationship Type="http://schemas.openxmlformats.org/officeDocument/2006/relationships/hyperlink" Target="#'P2'!A1" TargetMode="External" Id="rId46"/><Relationship Type="http://schemas.openxmlformats.org/officeDocument/2006/relationships/hyperlink" Target="#'P3'!A1" TargetMode="External" Id="rId47"/><Relationship Type="http://schemas.openxmlformats.org/officeDocument/2006/relationships/hyperlink" Target="#'P3'!A1" TargetMode="External" Id="rId48"/><Relationship Type="http://schemas.openxmlformats.org/officeDocument/2006/relationships/hyperlink" Target="#'P3'!A1" TargetMode="External" Id="rId49"/><Relationship Type="http://schemas.openxmlformats.org/officeDocument/2006/relationships/hyperlink" Target="#'P3'!A1" TargetMode="External" Id="rId50"/><Relationship Type="http://schemas.openxmlformats.org/officeDocument/2006/relationships/hyperlink" Target="#'P3'!A1" TargetMode="External" Id="rId51"/><Relationship Type="http://schemas.openxmlformats.org/officeDocument/2006/relationships/hyperlink" Target="#'P4'!A1" TargetMode="External" Id="rId52"/><Relationship Type="http://schemas.openxmlformats.org/officeDocument/2006/relationships/hyperlink" Target="#'P4'!A1" TargetMode="External" Id="rId53"/><Relationship Type="http://schemas.openxmlformats.org/officeDocument/2006/relationships/hyperlink" Target="#'P4'!A1" TargetMode="External" Id="rId54"/><Relationship Type="http://schemas.openxmlformats.org/officeDocument/2006/relationships/hyperlink" Target="#'P4'!A1" TargetMode="External" Id="rId55"/><Relationship Type="http://schemas.openxmlformats.org/officeDocument/2006/relationships/hyperlink" Target="#'P4'!A1" TargetMode="External" Id="rId56"/><Relationship Type="http://schemas.openxmlformats.org/officeDocument/2006/relationships/hyperlink" Target="#'P4'!A1" TargetMode="External" Id="rId57"/><Relationship Type="http://schemas.openxmlformats.org/officeDocument/2006/relationships/hyperlink" Target="#'P4'!A1" TargetMode="External" Id="rId58"/><Relationship Type="http://schemas.openxmlformats.org/officeDocument/2006/relationships/hyperlink" Target="#'P4'!A1" TargetMode="External" Id="rId59"/><Relationship Type="http://schemas.openxmlformats.org/officeDocument/2006/relationships/hyperlink" Target="#'P5'!A1" TargetMode="External" Id="rId60"/><Relationship Type="http://schemas.openxmlformats.org/officeDocument/2006/relationships/hyperlink" Target="#'P5'!A1" TargetMode="External" Id="rId61"/><Relationship Type="http://schemas.openxmlformats.org/officeDocument/2006/relationships/hyperlink" Target="#'P5'!A1" TargetMode="External" Id="rId62"/><Relationship Type="http://schemas.openxmlformats.org/officeDocument/2006/relationships/hyperlink" Target="#'P5'!A1" TargetMode="External" Id="rId63"/><Relationship Type="http://schemas.openxmlformats.org/officeDocument/2006/relationships/hyperlink" Target="#'P5'!A1" TargetMode="External" Id="rId64"/><Relationship Type="http://schemas.openxmlformats.org/officeDocument/2006/relationships/hyperlink" Target="#'P5'!A1" TargetMode="External" Id="rId65"/><Relationship Type="http://schemas.openxmlformats.org/officeDocument/2006/relationships/hyperlink" Target="#'P5'!A1" TargetMode="External" Id="rId66"/><Relationship Type="http://schemas.openxmlformats.org/officeDocument/2006/relationships/hyperlink" Target="#'P5'!A1" TargetMode="External" Id="rId67"/><Relationship Type="http://schemas.openxmlformats.org/officeDocument/2006/relationships/hyperlink" Target="#'P5'!A1" TargetMode="External" Id="rId68"/><Relationship Type="http://schemas.openxmlformats.org/officeDocument/2006/relationships/hyperlink" Target="#'P5'!A1" TargetMode="External" Id="rId69"/><Relationship Type="http://schemas.openxmlformats.org/officeDocument/2006/relationships/hyperlink" Target="#'P6'!A1" TargetMode="External" Id="rId70"/><Relationship Type="http://schemas.openxmlformats.org/officeDocument/2006/relationships/hyperlink" Target="#'P6'!A1" TargetMode="External" Id="rId71"/><Relationship Type="http://schemas.openxmlformats.org/officeDocument/2006/relationships/hyperlink" Target="#'P6'!A1" TargetMode="External" Id="rId72"/><Relationship Type="http://schemas.openxmlformats.org/officeDocument/2006/relationships/hyperlink" Target="#'P6'!A1" TargetMode="External" Id="rId73"/><Relationship Type="http://schemas.openxmlformats.org/officeDocument/2006/relationships/hyperlink" Target="#'P6'!A1" TargetMode="External" Id="rId74"/><Relationship Type="http://schemas.openxmlformats.org/officeDocument/2006/relationships/hyperlink" Target="#'P6'!A1" TargetMode="External" Id="rId75"/><Relationship Type="http://schemas.openxmlformats.org/officeDocument/2006/relationships/hyperlink" Target="#'P6'!A1" TargetMode="External" Id="rId76"/><Relationship Type="http://schemas.openxmlformats.org/officeDocument/2006/relationships/hyperlink" Target="#'P6'!A1" TargetMode="External" Id="rId77"/><Relationship Type="http://schemas.openxmlformats.org/officeDocument/2006/relationships/hyperlink" Target="#'P6'!A1" TargetMode="External" Id="rId78"/><Relationship Type="http://schemas.openxmlformats.org/officeDocument/2006/relationships/hyperlink" Target="#'P6'!A1" TargetMode="External" Id="rId79"/><Relationship Type="http://schemas.openxmlformats.org/officeDocument/2006/relationships/hyperlink" Target="#'P6'!A1" TargetMode="External" Id="rId80"/><Relationship Type="http://schemas.openxmlformats.org/officeDocument/2006/relationships/hyperlink" Target="#'P6'!A1" TargetMode="External" Id="rId81"/><Relationship Type="http://schemas.openxmlformats.org/officeDocument/2006/relationships/hyperlink" Target="#'P7'!A1" TargetMode="External" Id="rId82"/><Relationship Type="http://schemas.openxmlformats.org/officeDocument/2006/relationships/hyperlink" Target="#'P7'!A1" TargetMode="External" Id="rId83"/><Relationship Type="http://schemas.openxmlformats.org/officeDocument/2006/relationships/hyperlink" Target="#'P7'!A1" TargetMode="External" Id="rId84"/><Relationship Type="http://schemas.openxmlformats.org/officeDocument/2006/relationships/hyperlink" Target="#'P7'!A1" TargetMode="External" Id="rId85"/><Relationship Type="http://schemas.openxmlformats.org/officeDocument/2006/relationships/hyperlink" Target="#'P7'!A1" TargetMode="External" Id="rId86"/><Relationship Type="http://schemas.openxmlformats.org/officeDocument/2006/relationships/hyperlink" Target="#'P7'!A1" TargetMode="External" Id="rId87"/><Relationship Type="http://schemas.openxmlformats.org/officeDocument/2006/relationships/hyperlink" Target="#'P7'!A1" TargetMode="External" Id="rId88"/><Relationship Type="http://schemas.openxmlformats.org/officeDocument/2006/relationships/hyperlink" Target="#'P7'!A1" TargetMode="External" Id="rId89"/><Relationship Type="http://schemas.openxmlformats.org/officeDocument/2006/relationships/hyperlink" Target="#'P8'!A1" TargetMode="External" Id="rId90"/><Relationship Type="http://schemas.openxmlformats.org/officeDocument/2006/relationships/hyperlink" Target="#'P8'!A1" TargetMode="External" Id="rId91"/><Relationship Type="http://schemas.openxmlformats.org/officeDocument/2006/relationships/hyperlink" Target="#'P8'!A1" TargetMode="External" Id="rId92"/><Relationship Type="http://schemas.openxmlformats.org/officeDocument/2006/relationships/hyperlink" Target="#'P8'!A1" TargetMode="External" Id="rId93"/><Relationship Type="http://schemas.openxmlformats.org/officeDocument/2006/relationships/hyperlink" Target="#'P8'!A1" TargetMode="External" Id="rId94"/><Relationship Type="http://schemas.openxmlformats.org/officeDocument/2006/relationships/hyperlink" Target="#'P8'!A1" TargetMode="External" Id="rId95"/><Relationship Type="http://schemas.openxmlformats.org/officeDocument/2006/relationships/hyperlink" Target="#'P8'!A1" TargetMode="External" Id="rId96"/><Relationship Type="http://schemas.openxmlformats.org/officeDocument/2006/relationships/hyperlink" Target="#'P8'!A1" TargetMode="External" Id="rId97"/><Relationship Type="http://schemas.openxmlformats.org/officeDocument/2006/relationships/hyperlink" Target="#'P9'!A1" TargetMode="External" Id="rId98"/><Relationship Type="http://schemas.openxmlformats.org/officeDocument/2006/relationships/hyperlink" Target="#'P9'!A1" TargetMode="External" Id="rId99"/><Relationship Type="http://schemas.openxmlformats.org/officeDocument/2006/relationships/hyperlink" Target="#'P9'!A1" TargetMode="External" Id="rId100"/><Relationship Type="http://schemas.openxmlformats.org/officeDocument/2006/relationships/hyperlink" Target="#'P9'!A1" TargetMode="External" Id="rId101"/><Relationship Type="http://schemas.openxmlformats.org/officeDocument/2006/relationships/hyperlink" Target="#'P9'!A1" TargetMode="External" Id="rId102"/><Relationship Type="http://schemas.openxmlformats.org/officeDocument/2006/relationships/hyperlink" Target="#'P10'!A1" TargetMode="External" Id="rId103"/><Relationship Type="http://schemas.openxmlformats.org/officeDocument/2006/relationships/hyperlink" Target="#'P10'!A1" TargetMode="External" Id="rId104"/><Relationship Type="http://schemas.openxmlformats.org/officeDocument/2006/relationships/hyperlink" Target="#'P10'!A1" TargetMode="External" Id="rId105"/><Relationship Type="http://schemas.openxmlformats.org/officeDocument/2006/relationships/hyperlink" Target="#'P10'!A1" TargetMode="External" Id="rId106"/><Relationship Type="http://schemas.openxmlformats.org/officeDocument/2006/relationships/hyperlink" Target="#'P10'!A1" TargetMode="External" Id="rId107"/><Relationship Type="http://schemas.openxmlformats.org/officeDocument/2006/relationships/hyperlink" Target="#'P10'!A1" TargetMode="External" Id="rId108"/><Relationship Type="http://schemas.openxmlformats.org/officeDocument/2006/relationships/hyperlink" Target="#'P10'!A1" TargetMode="External" Id="rId109"/><Relationship Type="http://schemas.openxmlformats.org/officeDocument/2006/relationships/hyperlink" Target="#'P10'!A1" TargetMode="External" Id="rId110"/><Relationship Type="http://schemas.openxmlformats.org/officeDocument/2006/relationships/hyperlink" Target="#'P10'!A1" TargetMode="External" Id="rId111"/><Relationship Type="http://schemas.openxmlformats.org/officeDocument/2006/relationships/hyperlink" Target="#'P11'!A1" TargetMode="External" Id="rId112"/><Relationship Type="http://schemas.openxmlformats.org/officeDocument/2006/relationships/hyperlink" Target="#'P11'!A1" TargetMode="External" Id="rId113"/><Relationship Type="http://schemas.openxmlformats.org/officeDocument/2006/relationships/hyperlink" Target="#'P11'!A1" TargetMode="External" Id="rId114"/><Relationship Type="http://schemas.openxmlformats.org/officeDocument/2006/relationships/hyperlink" Target="#'P11'!A1" TargetMode="External" Id="rId115"/><Relationship Type="http://schemas.openxmlformats.org/officeDocument/2006/relationships/hyperlink" Target="#'P11'!A1" TargetMode="External" Id="rId116"/><Relationship Type="http://schemas.openxmlformats.org/officeDocument/2006/relationships/hyperlink" Target="#'P11'!A1" TargetMode="External" Id="rId117"/><Relationship Type="http://schemas.openxmlformats.org/officeDocument/2006/relationships/hyperlink" Target="#'P11'!A1" TargetMode="External" Id="rId118"/><Relationship Type="http://schemas.openxmlformats.org/officeDocument/2006/relationships/hyperlink" Target="#'P12'!A1" TargetMode="External" Id="rId119"/><Relationship Type="http://schemas.openxmlformats.org/officeDocument/2006/relationships/hyperlink" Target="#'P12'!A1" TargetMode="External" Id="rId120"/><Relationship Type="http://schemas.openxmlformats.org/officeDocument/2006/relationships/hyperlink" Target="#'P12'!A1" TargetMode="External" Id="rId121"/><Relationship Type="http://schemas.openxmlformats.org/officeDocument/2006/relationships/hyperlink" Target="#'P12'!A1" TargetMode="External" Id="rId122"/><Relationship Type="http://schemas.openxmlformats.org/officeDocument/2006/relationships/hyperlink" Target="#'P12'!A1" TargetMode="External" Id="rId123"/><Relationship Type="http://schemas.openxmlformats.org/officeDocument/2006/relationships/hyperlink" Target="#'P12'!A1" TargetMode="External" Id="rId124"/><Relationship Type="http://schemas.openxmlformats.org/officeDocument/2006/relationships/hyperlink" Target="#'P13'!A1" TargetMode="External" Id="rId125"/><Relationship Type="http://schemas.openxmlformats.org/officeDocument/2006/relationships/hyperlink" Target="#'P13'!A1" TargetMode="External" Id="rId126"/><Relationship Type="http://schemas.openxmlformats.org/officeDocument/2006/relationships/hyperlink" Target="#'P13'!A1" TargetMode="External" Id="rId127"/><Relationship Type="http://schemas.openxmlformats.org/officeDocument/2006/relationships/hyperlink" Target="#'P13'!A1" TargetMode="External" Id="rId128"/><Relationship Type="http://schemas.openxmlformats.org/officeDocument/2006/relationships/hyperlink" Target="#'P13'!A1" TargetMode="External" Id="rId129"/><Relationship Type="http://schemas.openxmlformats.org/officeDocument/2006/relationships/hyperlink" Target="#'P14'!A1" TargetMode="External" Id="rId130"/><Relationship Type="http://schemas.openxmlformats.org/officeDocument/2006/relationships/hyperlink" Target="#'P14'!A1" TargetMode="External" Id="rId131"/><Relationship Type="http://schemas.openxmlformats.org/officeDocument/2006/relationships/hyperlink" Target="#'P14'!A1" TargetMode="External" Id="rId132"/><Relationship Type="http://schemas.openxmlformats.org/officeDocument/2006/relationships/hyperlink" Target="#'P14'!A1" TargetMode="External" Id="rId133"/><Relationship Type="http://schemas.openxmlformats.org/officeDocument/2006/relationships/hyperlink" Target="#'P14'!A1" TargetMode="External" Id="rId134"/><Relationship Type="http://schemas.openxmlformats.org/officeDocument/2006/relationships/hyperlink" Target="#'P14'!A1" TargetMode="External" Id="rId135"/><Relationship Type="http://schemas.openxmlformats.org/officeDocument/2006/relationships/hyperlink" Target="#'P15'!A1" TargetMode="External" Id="rId136"/><Relationship Type="http://schemas.openxmlformats.org/officeDocument/2006/relationships/hyperlink" Target="#'P15'!A1" TargetMode="External" Id="rId137"/><Relationship Type="http://schemas.openxmlformats.org/officeDocument/2006/relationships/hyperlink" Target="#'P15'!A1" TargetMode="External" Id="rId138"/><Relationship Type="http://schemas.openxmlformats.org/officeDocument/2006/relationships/hyperlink" Target="#'P15'!A1" TargetMode="External" Id="rId139"/><Relationship Type="http://schemas.openxmlformats.org/officeDocument/2006/relationships/hyperlink" Target="#'P15'!A1" TargetMode="External" Id="rId140"/><Relationship Type="http://schemas.openxmlformats.org/officeDocument/2006/relationships/hyperlink" Target="#'P15'!A1" TargetMode="External" Id="rId141"/><Relationship Type="http://schemas.openxmlformats.org/officeDocument/2006/relationships/hyperlink" Target="#'P16'!A1" TargetMode="External" Id="rId142"/><Relationship Type="http://schemas.openxmlformats.org/officeDocument/2006/relationships/hyperlink" Target="#'P16'!A1" TargetMode="External" Id="rId143"/><Relationship Type="http://schemas.openxmlformats.org/officeDocument/2006/relationships/hyperlink" Target="#'P16'!A1" TargetMode="External" Id="rId144"/><Relationship Type="http://schemas.openxmlformats.org/officeDocument/2006/relationships/hyperlink" Target="#'P16'!A1" TargetMode="External" Id="rId145"/><Relationship Type="http://schemas.openxmlformats.org/officeDocument/2006/relationships/hyperlink" Target="#'P16'!A1" TargetMode="External" Id="rId146"/><Relationship Type="http://schemas.openxmlformats.org/officeDocument/2006/relationships/hyperlink" Target="#'P16'!A1" TargetMode="External" Id="rId147"/><Relationship Type="http://schemas.openxmlformats.org/officeDocument/2006/relationships/hyperlink" Target="#'P17'!A1" TargetMode="External" Id="rId148"/><Relationship Type="http://schemas.openxmlformats.org/officeDocument/2006/relationships/hyperlink" Target="#'P17'!A1" TargetMode="External" Id="rId149"/><Relationship Type="http://schemas.openxmlformats.org/officeDocument/2006/relationships/hyperlink" Target="#'P17'!A1" TargetMode="External" Id="rId150"/><Relationship Type="http://schemas.openxmlformats.org/officeDocument/2006/relationships/hyperlink" Target="#'P17'!A1" TargetMode="External" Id="rId151"/><Relationship Type="http://schemas.openxmlformats.org/officeDocument/2006/relationships/hyperlink" Target="#'P17'!A1" TargetMode="External" Id="rId152"/><Relationship Type="http://schemas.openxmlformats.org/officeDocument/2006/relationships/hyperlink" Target="#'P17'!A1" TargetMode="External" Id="rId153"/><Relationship Type="http://schemas.openxmlformats.org/officeDocument/2006/relationships/hyperlink" Target="#'P17'!A1" TargetMode="External" Id="rId154"/><Relationship Type="http://schemas.openxmlformats.org/officeDocument/2006/relationships/hyperlink" Target="#'P17'!A1" TargetMode="External" Id="rId155"/><Relationship Type="http://schemas.openxmlformats.org/officeDocument/2006/relationships/hyperlink" Target="#'P18'!A1" TargetMode="External" Id="rId156"/><Relationship Type="http://schemas.openxmlformats.org/officeDocument/2006/relationships/hyperlink" Target="#'P18'!A1" TargetMode="External" Id="rId157"/><Relationship Type="http://schemas.openxmlformats.org/officeDocument/2006/relationships/hyperlink" Target="#'P18'!A1" TargetMode="External" Id="rId158"/><Relationship Type="http://schemas.openxmlformats.org/officeDocument/2006/relationships/hyperlink" Target="#'P18'!A1" TargetMode="External" Id="rId159"/><Relationship Type="http://schemas.openxmlformats.org/officeDocument/2006/relationships/hyperlink" Target="#'P18'!A1" TargetMode="External" Id="rId160"/><Relationship Type="http://schemas.openxmlformats.org/officeDocument/2006/relationships/hyperlink" Target="#'P18'!A1" TargetMode="External" Id="rId161"/><Relationship Type="http://schemas.openxmlformats.org/officeDocument/2006/relationships/hyperlink" Target="#'P18'!A1" TargetMode="External" Id="rId162"/><Relationship Type="http://schemas.openxmlformats.org/officeDocument/2006/relationships/hyperlink" Target="#'P19'!A1" TargetMode="External" Id="rId163"/><Relationship Type="http://schemas.openxmlformats.org/officeDocument/2006/relationships/hyperlink" Target="#'P19'!A1" TargetMode="External" Id="rId164"/><Relationship Type="http://schemas.openxmlformats.org/officeDocument/2006/relationships/hyperlink" Target="#'P19'!A1" TargetMode="External" Id="rId165"/><Relationship Type="http://schemas.openxmlformats.org/officeDocument/2006/relationships/hyperlink" Target="#'P19'!A1" TargetMode="External" Id="rId166"/><Relationship Type="http://schemas.openxmlformats.org/officeDocument/2006/relationships/hyperlink" Target="#'P19'!A1" TargetMode="External" Id="rId167"/><Relationship Type="http://schemas.openxmlformats.org/officeDocument/2006/relationships/hyperlink" Target="#'P19'!A1" TargetMode="External" Id="rId168"/></Relationships>
</file>

<file path=xl/worksheets/_rels/sheet2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0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1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2.xm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3.xm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4.xm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5.xm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6.xm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7.xm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8.xm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19.xm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Ordre d''ex&#233;cution'!A1" TargetMode="External" Id="rId1"/><Relationship Type="http://schemas.openxmlformats.org/officeDocument/2006/relationships/table" Target="/xl/tables/table20.xml" Id="rId2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5" customWidth="1" min="3" max="3"/>
    <col width="58" customWidth="1" min="4" max="4"/>
    <col width="9" customWidth="1" min="5" max="5"/>
    <col width="9" customWidth="1" min="6" max="6"/>
    <col width="12" customWidth="1" min="7" max="7"/>
    <col width="13" customWidth="1" min="8" max="8"/>
    <col width="22" customWidth="1" min="9" max="9"/>
  </cols>
  <sheetData>
    <row r="1">
      <c r="A1" s="1" t="inlineStr">
        <is>
          <t>Backlog GestionProjet — ordre d'exécution</t>
        </is>
      </c>
    </row>
    <row r="2">
      <c r="A2" s="2" t="inlineStr">
        <is>
          <t>Généré le 16/10/2026 14:45 depuis backlog/BACKLOG.md. Ne pas modifier : les statuts changent via /lancer-phase, /valider-phase, /refuser-tache et scripts/backlog.py.</t>
        </is>
      </c>
    </row>
    <row r="4">
      <c r="A4" s="3" t="inlineStr">
        <is>
          <t>Phase</t>
        </is>
      </c>
      <c r="B4" s="3" t="inlineStr">
        <is>
          <t>Titre</t>
        </is>
      </c>
      <c r="C4" s="3" t="inlineStr">
        <is>
          <t>Statut phase</t>
        </is>
      </c>
      <c r="D4" s="3" t="inlineStr">
        <is>
          <t>Modèle conseillé</t>
        </is>
      </c>
      <c r="E4" s="3" t="inlineStr">
        <is>
          <t>Tâches</t>
        </is>
      </c>
      <c r="F4" s="3" t="inlineStr">
        <is>
          <t>Faites</t>
        </is>
      </c>
      <c r="G4" s="3" t="inlineStr">
        <is>
          <t>Avancement</t>
        </is>
      </c>
      <c r="H4" s="3" t="inlineStr">
        <is>
          <t>Bloquées</t>
        </is>
      </c>
    </row>
    <row r="5">
      <c r="A5" s="4" t="inlineStr">
        <is>
          <t>P0</t>
        </is>
      </c>
      <c r="B5" s="5" t="inlineStr">
        <is>
          <t>Initialisation et outillage</t>
        </is>
      </c>
      <c r="C5" s="4" t="inlineStr">
        <is>
          <t>VALIDEE</t>
        </is>
      </c>
      <c r="D5" s="4" t="inlineStr">
        <is>
          <t>sonnet</t>
        </is>
      </c>
      <c r="E5" s="4">
        <f>COUNTA('P0'!B8:B200)</f>
        <v/>
      </c>
      <c r="F5" s="4">
        <f>COUNTIF('P0'!F8:F200,"A_VALIDER")+COUNTIF('P0'!F8:F200,"VALIDE")</f>
        <v/>
      </c>
      <c r="G5" s="6">
        <f>IF(E5=0,0,F5/E5)</f>
        <v/>
      </c>
      <c r="H5" s="4">
        <f>COUNTIF('P0'!F8:F200,"BLOQUE")</f>
        <v/>
      </c>
    </row>
    <row r="6">
      <c r="A6" s="4" t="inlineStr">
        <is>
          <t>P1</t>
        </is>
      </c>
      <c r="B6" s="5" t="inlineStr">
        <is>
          <t>Socle backend .NET 10</t>
        </is>
      </c>
      <c r="C6" s="4" t="inlineStr">
        <is>
          <t>EN_COURS</t>
        </is>
      </c>
      <c r="D6" s="4" t="inlineStr">
        <is>
          <t>opus</t>
        </is>
      </c>
      <c r="E6" s="4">
        <f>COUNTA('P1'!B8:B200)</f>
        <v/>
      </c>
      <c r="F6" s="4">
        <f>COUNTIF('P1'!F8:F200,"A_VALIDER")+COUNTIF('P1'!F8:F200,"VALIDE")</f>
        <v/>
      </c>
      <c r="G6" s="6">
        <f>IF(E6=0,0,F6/E6)</f>
        <v/>
      </c>
      <c r="H6" s="4">
        <f>COUNTIF('P1'!F8:F200,"BLOQUE")</f>
        <v/>
      </c>
    </row>
    <row r="7">
      <c r="A7" s="4" t="inlineStr">
        <is>
          <t>P2</t>
        </is>
      </c>
      <c r="B7" s="5" t="inlineStr">
        <is>
          <t>Socle frontend Blazor WebAssembly et BFF</t>
        </is>
      </c>
      <c r="C7" s="4" t="inlineStr">
        <is>
          <t>NON_DEMARREE</t>
        </is>
      </c>
      <c r="D7" s="4" t="inlineStr">
        <is>
          <t>sonnet</t>
        </is>
      </c>
      <c r="E7" s="4">
        <f>COUNTA('P2'!B8:B200)</f>
        <v/>
      </c>
      <c r="F7" s="4">
        <f>COUNTIF('P2'!F8:F200,"A_VALIDER")+COUNTIF('P2'!F8:F200,"VALIDE")</f>
        <v/>
      </c>
      <c r="G7" s="6">
        <f>IF(E7=0,0,F7/E7)</f>
        <v/>
      </c>
      <c r="H7" s="4">
        <f>COUNTIF('P2'!F8:F200,"BLOQUE")</f>
        <v/>
      </c>
    </row>
    <row r="8">
      <c r="A8" s="4" t="inlineStr">
        <is>
          <t>P3</t>
        </is>
      </c>
      <c r="B8" s="5" t="inlineStr">
        <is>
          <t>Conteneurisation et intégration continue GitHub Actions</t>
        </is>
      </c>
      <c r="C8" s="4" t="inlineStr">
        <is>
          <t>NON_DEMARREE</t>
        </is>
      </c>
      <c r="D8" s="4" t="inlineStr">
        <is>
          <t>sonnet</t>
        </is>
      </c>
      <c r="E8" s="4">
        <f>COUNTA('P3'!B8:B200)</f>
        <v/>
      </c>
      <c r="F8" s="4">
        <f>COUNTIF('P3'!F8:F200,"A_VALIDER")+COUNTIF('P3'!F8:F200,"VALIDE")</f>
        <v/>
      </c>
      <c r="G8" s="6">
        <f>IF(E8=0,0,F8/E8)</f>
        <v/>
      </c>
      <c r="H8" s="4">
        <f>COUNTIF('P3'!F8:F200,"BLOQUE")</f>
        <v/>
      </c>
    </row>
    <row r="9">
      <c r="A9" s="4" t="inlineStr">
        <is>
          <t>P4</t>
        </is>
      </c>
      <c r="B9" s="5" t="inlineStr">
        <is>
          <t>Module Organisation et périmètre hiérarchique</t>
        </is>
      </c>
      <c r="C9" s="4" t="inlineStr">
        <is>
          <t>NON_DEMARREE</t>
        </is>
      </c>
      <c r="D9" s="4" t="inlineStr">
        <is>
          <t>sonnet</t>
        </is>
      </c>
      <c r="E9" s="4">
        <f>COUNTA('P4'!B8:B200)</f>
        <v/>
      </c>
      <c r="F9" s="4">
        <f>COUNTIF('P4'!F8:F200,"A_VALIDER")+COUNTIF('P4'!F8:F200,"VALIDE")</f>
        <v/>
      </c>
      <c r="G9" s="6">
        <f>IF(E9=0,0,F9/E9)</f>
        <v/>
      </c>
      <c r="H9" s="4">
        <f>COUNTIF('P4'!F8:F200,"BLOQUE")</f>
        <v/>
      </c>
    </row>
    <row r="10">
      <c r="A10" s="4" t="inlineStr">
        <is>
          <t>P5</t>
        </is>
      </c>
      <c r="B10" s="5" t="inlineStr">
        <is>
          <t>Projets et affectation en cascade</t>
        </is>
      </c>
      <c r="C10" s="4" t="inlineStr">
        <is>
          <t>NON_DEMARREE</t>
        </is>
      </c>
      <c r="D10" s="4" t="inlineStr">
        <is>
          <t>opus</t>
        </is>
      </c>
      <c r="E10" s="4">
        <f>COUNTA('P5'!B8:B200)</f>
        <v/>
      </c>
      <c r="F10" s="4">
        <f>COUNTIF('P5'!F8:F200,"A_VALIDER")+COUNTIF('P5'!F8:F200,"VALIDE")</f>
        <v/>
      </c>
      <c r="G10" s="6">
        <f>IF(E10=0,0,F10/E10)</f>
        <v/>
      </c>
      <c r="H10" s="4">
        <f>COUNTIF('P5'!F8:F200,"BLOQUE")</f>
        <v/>
      </c>
    </row>
    <row r="11">
      <c r="A11" s="4" t="inlineStr">
        <is>
          <t>P6</t>
        </is>
      </c>
      <c r="B11" s="5" t="inlineStr">
        <is>
          <t>Planification et ordonnancement</t>
        </is>
      </c>
      <c r="C11" s="4" t="inlineStr">
        <is>
          <t>NON_DEMARREE</t>
        </is>
      </c>
      <c r="D11" s="4" t="inlineStr">
        <is>
          <t>opus</t>
        </is>
      </c>
      <c r="E11" s="4">
        <f>COUNTA('P6'!B8:B200)</f>
        <v/>
      </c>
      <c r="F11" s="4">
        <f>COUNTIF('P6'!F8:F200,"A_VALIDER")+COUNTIF('P6'!F8:F200,"VALIDE")</f>
        <v/>
      </c>
      <c r="G11" s="6">
        <f>IF(E11=0,0,F11/E11)</f>
        <v/>
      </c>
      <c r="H11" s="4">
        <f>COUNTIF('P6'!F8:F200,"BLOQUE")</f>
        <v/>
      </c>
    </row>
    <row r="12">
      <c r="A12" s="4" t="inlineStr">
        <is>
          <t>P7</t>
        </is>
      </c>
      <c r="B12" s="5" t="inlineStr">
        <is>
          <t>Coût en temps</t>
        </is>
      </c>
      <c r="C12" s="4" t="inlineStr">
        <is>
          <t>NON_DEMARREE</t>
        </is>
      </c>
      <c r="D12" s="4" t="inlineStr">
        <is>
          <t>sonnet</t>
        </is>
      </c>
      <c r="E12" s="4">
        <f>COUNTA('P7'!B8:B200)</f>
        <v/>
      </c>
      <c r="F12" s="4">
        <f>COUNTIF('P7'!F8:F200,"A_VALIDER")+COUNTIF('P7'!F8:F200,"VALIDE")</f>
        <v/>
      </c>
      <c r="G12" s="6">
        <f>IF(E12=0,0,F12/E12)</f>
        <v/>
      </c>
      <c r="H12" s="4">
        <f>COUNTIF('P7'!F8:F200,"BLOQUE")</f>
        <v/>
      </c>
    </row>
    <row r="13">
      <c r="A13" s="4" t="inlineStr">
        <is>
          <t>P8</t>
        </is>
      </c>
      <c r="B13" s="5" t="inlineStr">
        <is>
          <t>Reporting par niveau hiérarchique</t>
        </is>
      </c>
      <c r="C13" s="4" t="inlineStr">
        <is>
          <t>NON_DEMARREE</t>
        </is>
      </c>
      <c r="D13" s="4" t="inlineStr">
        <is>
          <t>sonnet</t>
        </is>
      </c>
      <c r="E13" s="4">
        <f>COUNTA('P8'!B8:B200)</f>
        <v/>
      </c>
      <c r="F13" s="4">
        <f>COUNTIF('P8'!F8:F200,"A_VALIDER")+COUNTIF('P8'!F8:F200,"VALIDE")</f>
        <v/>
      </c>
      <c r="G13" s="6">
        <f>IF(E13=0,0,F13/E13)</f>
        <v/>
      </c>
      <c r="H13" s="4">
        <f>COUNTIF('P8'!F8:F200,"BLOQUE")</f>
        <v/>
      </c>
    </row>
    <row r="14">
      <c r="A14" s="4" t="inlineStr">
        <is>
          <t>P9</t>
        </is>
      </c>
      <c r="B14" s="5" t="inlineStr">
        <is>
          <t>Collaboration et services transverses</t>
        </is>
      </c>
      <c r="C14" s="4" t="inlineStr">
        <is>
          <t>NON_DEMARREE</t>
        </is>
      </c>
      <c r="D14" s="4" t="inlineStr">
        <is>
          <t>sonnet</t>
        </is>
      </c>
      <c r="E14" s="4">
        <f>COUNTA('P9'!B8:B200)</f>
        <v/>
      </c>
      <c r="F14" s="4">
        <f>COUNTIF('P9'!F8:F200,"A_VALIDER")+COUNTIF('P9'!F8:F200,"VALIDE")</f>
        <v/>
      </c>
      <c r="G14" s="6">
        <f>IF(E14=0,0,F14/E14)</f>
        <v/>
      </c>
      <c r="H14" s="4">
        <f>COUNTIF('P9'!F8:F200,"BLOQUE")</f>
        <v/>
      </c>
    </row>
    <row r="15">
      <c r="A15" s="4" t="inlineStr">
        <is>
          <t>P10</t>
        </is>
      </c>
      <c r="B15" s="5" t="inlineStr">
        <is>
          <t>Modélisation et diagrammes</t>
        </is>
      </c>
      <c r="C15" s="4" t="inlineStr">
        <is>
          <t>NON_DEMARREE</t>
        </is>
      </c>
      <c r="D15" s="4" t="inlineStr">
        <is>
          <t>opus</t>
        </is>
      </c>
      <c r="E15" s="4">
        <f>COUNTA('P10'!B8:B200)</f>
        <v/>
      </c>
      <c r="F15" s="4">
        <f>COUNTIF('P10'!F8:F200,"A_VALIDER")+COUNTIF('P10'!F8:F200,"VALIDE")</f>
        <v/>
      </c>
      <c r="G15" s="6">
        <f>IF(E15=0,0,F15/E15)</f>
        <v/>
      </c>
      <c r="H15" s="4">
        <f>COUNTIF('P10'!F8:F200,"BLOQUE")</f>
        <v/>
      </c>
    </row>
    <row r="16">
      <c r="A16" s="4" t="inlineStr">
        <is>
          <t>P11</t>
        </is>
      </c>
      <c r="B16" s="5" t="inlineStr">
        <is>
          <t>Générateur de code</t>
        </is>
      </c>
      <c r="C16" s="4" t="inlineStr">
        <is>
          <t>NON_DEMARREE</t>
        </is>
      </c>
      <c r="D16" s="4" t="inlineStr">
        <is>
          <t>opus</t>
        </is>
      </c>
      <c r="E16" s="4">
        <f>COUNTA('P11'!B8:B200)</f>
        <v/>
      </c>
      <c r="F16" s="4">
        <f>COUNTIF('P11'!F8:F200,"A_VALIDER")+COUNTIF('P11'!F8:F200,"VALIDE")</f>
        <v/>
      </c>
      <c r="G16" s="6">
        <f>IF(E16=0,0,F16/E16)</f>
        <v/>
      </c>
      <c r="H16" s="4">
        <f>COUNTIF('P11'!F8:F200,"BLOQUE")</f>
        <v/>
      </c>
    </row>
    <row r="17">
      <c r="A17" s="4" t="inlineStr">
        <is>
          <t>P12</t>
        </is>
      </c>
      <c r="B17" s="5" t="inlineStr">
        <is>
          <t>Intégration GitLab</t>
        </is>
      </c>
      <c r="C17" s="4" t="inlineStr">
        <is>
          <t>NON_DEMARREE</t>
        </is>
      </c>
      <c r="D17" s="4" t="inlineStr">
        <is>
          <t>sonnet</t>
        </is>
      </c>
      <c r="E17" s="4">
        <f>COUNTA('P12'!B8:B200)</f>
        <v/>
      </c>
      <c r="F17" s="4">
        <f>COUNTIF('P12'!F8:F200,"A_VALIDER")+COUNTIF('P12'!F8:F200,"VALIDE")</f>
        <v/>
      </c>
      <c r="G17" s="6">
        <f>IF(E17=0,0,F17/E17)</f>
        <v/>
      </c>
      <c r="H17" s="4">
        <f>COUNTIF('P12'!F8:F200,"BLOQUE")</f>
        <v/>
      </c>
    </row>
    <row r="18">
      <c r="A18" s="4" t="inlineStr">
        <is>
          <t>P13</t>
        </is>
      </c>
      <c r="B18" s="5" t="inlineStr">
        <is>
          <t>Déploiement Docker</t>
        </is>
      </c>
      <c r="C18" s="4" t="inlineStr">
        <is>
          <t>NON_DEMARREE</t>
        </is>
      </c>
      <c r="D18" s="4" t="inlineStr">
        <is>
          <t>sonnet</t>
        </is>
      </c>
      <c r="E18" s="4">
        <f>COUNTA('P13'!B8:B200)</f>
        <v/>
      </c>
      <c r="F18" s="4">
        <f>COUNTIF('P13'!F8:F200,"A_VALIDER")+COUNTIF('P13'!F8:F200,"VALIDE")</f>
        <v/>
      </c>
      <c r="G18" s="6">
        <f>IF(E18=0,0,F18/E18)</f>
        <v/>
      </c>
      <c r="H18" s="4">
        <f>COUNTIF('P13'!F8:F200,"BLOQUE")</f>
        <v/>
      </c>
    </row>
    <row r="19">
      <c r="A19" s="4" t="inlineStr">
        <is>
          <t>P14</t>
        </is>
      </c>
      <c r="B19" s="5" t="inlineStr">
        <is>
          <t>Cadrage, exigences et conception des écrans</t>
        </is>
      </c>
      <c r="C19" s="4" t="inlineStr">
        <is>
          <t>NON_DEMARREE</t>
        </is>
      </c>
      <c r="D19" s="4" t="inlineStr">
        <is>
          <t>sonnet</t>
        </is>
      </c>
      <c r="E19" s="4">
        <f>COUNTA('P14'!B8:B200)</f>
        <v/>
      </c>
      <c r="F19" s="4">
        <f>COUNTIF('P14'!F8:F200,"A_VALIDER")+COUNTIF('P14'!F8:F200,"VALIDE")</f>
        <v/>
      </c>
      <c r="G19" s="6">
        <f>IF(E19=0,0,F19/E19)</f>
        <v/>
      </c>
      <c r="H19" s="4">
        <f>COUNTIF('P14'!F8:F200,"BLOQUE")</f>
        <v/>
      </c>
    </row>
    <row r="20">
      <c r="A20" s="4" t="inlineStr">
        <is>
          <t>P15</t>
        </is>
      </c>
      <c r="B20" s="5" t="inlineStr">
        <is>
          <t>Qualité, recette et DevSecOps</t>
        </is>
      </c>
      <c r="C20" s="4" t="inlineStr">
        <is>
          <t>NON_DEMARREE</t>
        </is>
      </c>
      <c r="D20" s="4" t="inlineStr">
        <is>
          <t>sonnet</t>
        </is>
      </c>
      <c r="E20" s="4">
        <f>COUNTA('P15'!B8:B200)</f>
        <v/>
      </c>
      <c r="F20" s="4">
        <f>COUNTIF('P15'!F8:F200,"A_VALIDER")+COUNTIF('P15'!F8:F200,"VALIDE")</f>
        <v/>
      </c>
      <c r="G20" s="6">
        <f>IF(E20=0,0,F20/E20)</f>
        <v/>
      </c>
      <c r="H20" s="4">
        <f>COUNTIF('P15'!F8:F200,"BLOQUE")</f>
        <v/>
      </c>
    </row>
    <row r="21">
      <c r="A21" s="4" t="inlineStr">
        <is>
          <t>P16</t>
        </is>
      </c>
      <c r="B21" s="5" t="inlineStr">
        <is>
          <t>Documentation, méthodes agiles, automatisation et API</t>
        </is>
      </c>
      <c r="C21" s="4" t="inlineStr">
        <is>
          <t>NON_DEMARREE</t>
        </is>
      </c>
      <c r="D21" s="4" t="inlineStr">
        <is>
          <t>sonnet</t>
        </is>
      </c>
      <c r="E21" s="4">
        <f>COUNTA('P16'!B8:B200)</f>
        <v/>
      </c>
      <c r="F21" s="4">
        <f>COUNTIF('P16'!F8:F200,"A_VALIDER")+COUNTIF('P16'!F8:F200,"VALIDE")</f>
        <v/>
      </c>
      <c r="G21" s="6">
        <f>IF(E21=0,0,F21/E21)</f>
        <v/>
      </c>
      <c r="H21" s="4">
        <f>COUNTIF('P16'!F8:F200,"BLOQUE")</f>
        <v/>
      </c>
    </row>
    <row r="22">
      <c r="A22" s="4" t="inlineStr">
        <is>
          <t>P17</t>
        </is>
      </c>
      <c r="B22" s="5" t="inlineStr">
        <is>
          <t>Expérience utilisateur transverse et accessibilité</t>
        </is>
      </c>
      <c r="C22" s="4" t="inlineStr">
        <is>
          <t>NON_DEMARREE</t>
        </is>
      </c>
      <c r="D22" s="4" t="inlineStr">
        <is>
          <t>sonnet</t>
        </is>
      </c>
      <c r="E22" s="4">
        <f>COUNTA('P17'!B8:B200)</f>
        <v/>
      </c>
      <c r="F22" s="4">
        <f>COUNTIF('P17'!F8:F200,"A_VALIDER")+COUNTIF('P17'!F8:F200,"VALIDE")</f>
        <v/>
      </c>
      <c r="G22" s="6">
        <f>IF(E22=0,0,F22/E22)</f>
        <v/>
      </c>
      <c r="H22" s="4">
        <f>COUNTIF('P17'!F8:F200,"BLOQUE")</f>
        <v/>
      </c>
    </row>
    <row r="23">
      <c r="A23" s="4" t="inlineStr">
        <is>
          <t>P18</t>
        </is>
      </c>
      <c r="B23" s="5" t="inlineStr">
        <is>
          <t>Sécurité Keycloak et durcissement</t>
        </is>
      </c>
      <c r="C23" s="4" t="inlineStr">
        <is>
          <t>NON_DEMARREE</t>
        </is>
      </c>
      <c r="D23" s="4" t="inlineStr">
        <is>
          <t>opus</t>
        </is>
      </c>
      <c r="E23" s="4">
        <f>COUNTA('P18'!B8:B200)</f>
        <v/>
      </c>
      <c r="F23" s="4">
        <f>COUNTIF('P18'!F8:F200,"A_VALIDER")+COUNTIF('P18'!F8:F200,"VALIDE")</f>
        <v/>
      </c>
      <c r="G23" s="6">
        <f>IF(E23=0,0,F23/E23)</f>
        <v/>
      </c>
      <c r="H23" s="4">
        <f>COUNTIF('P18'!F8:F200,"BLOQUE")</f>
        <v/>
      </c>
    </row>
    <row r="24">
      <c r="A24" s="4" t="inlineStr">
        <is>
          <t>P19</t>
        </is>
      </c>
      <c r="B24" s="5" t="inlineStr">
        <is>
          <t>Performance, recette finale et mise en production</t>
        </is>
      </c>
      <c r="C24" s="4" t="inlineStr">
        <is>
          <t>NON_DEMARREE</t>
        </is>
      </c>
      <c r="D24" s="4" t="inlineStr">
        <is>
          <t>sonnet</t>
        </is>
      </c>
      <c r="E24" s="4">
        <f>COUNTA('P19'!B8:B200)</f>
        <v/>
      </c>
      <c r="F24" s="4">
        <f>COUNTIF('P19'!F8:F200,"A_VALIDER")+COUNTIF('P19'!F8:F200,"VALIDE")</f>
        <v/>
      </c>
      <c r="G24" s="6">
        <f>IF(E24=0,0,F24/E24)</f>
        <v/>
      </c>
      <c r="H24" s="4">
        <f>COUNTIF('P19'!F8:F200,"BLOQUE")</f>
        <v/>
      </c>
    </row>
    <row r="25">
      <c r="B25" s="7" t="inlineStr">
        <is>
          <t>Total</t>
        </is>
      </c>
      <c r="E25" s="8">
        <f>SUM(E5:E24)</f>
        <v/>
      </c>
      <c r="F25" s="8">
        <f>SUM(F5:F24)</f>
        <v/>
      </c>
      <c r="G25" s="9">
        <f>IF(E25=0,0,F25/E25)</f>
        <v/>
      </c>
      <c r="H25" s="8">
        <f>SUM(H5:H24)</f>
        <v/>
      </c>
    </row>
    <row r="27">
      <c r="A27" s="10" t="inlineStr">
        <is>
          <t>Séquence d'exécution des tâches</t>
        </is>
      </c>
    </row>
    <row r="28">
      <c r="A28" s="3" t="inlineStr">
        <is>
          <t>N°</t>
        </is>
      </c>
      <c r="B28" s="3" t="inlineStr">
        <is>
          <t>Phase</t>
        </is>
      </c>
      <c r="C28" s="3" t="inlineStr">
        <is>
          <t>Code</t>
        </is>
      </c>
      <c r="D28" s="3" t="inlineStr">
        <is>
          <t>Tâche</t>
        </is>
      </c>
      <c r="E28" s="3" t="inlineStr">
        <is>
          <t>Modèle</t>
        </is>
      </c>
      <c r="F28" s="3" t="inlineStr">
        <is>
          <t>Ordre</t>
        </is>
      </c>
      <c r="G28" s="3" t="inlineStr">
        <is>
          <t>Dépend de</t>
        </is>
      </c>
      <c r="H28" s="3" t="inlineStr">
        <is>
          <t>Statut</t>
        </is>
      </c>
      <c r="I28" s="3" t="inlineStr">
        <is>
          <t>Hypothèses</t>
        </is>
      </c>
    </row>
    <row r="29">
      <c r="A29" s="4" t="n">
        <v>1</v>
      </c>
      <c r="B29" s="5" t="inlineStr">
        <is>
          <t>P0 · Initialisation et outillage</t>
        </is>
      </c>
      <c r="C29" s="4" t="inlineStr">
        <is>
          <t>P0-T01</t>
        </is>
      </c>
      <c r="D29" s="5" t="inlineStr">
        <is>
          <t>Initialiser le dépôt Git et la branche de phase</t>
        </is>
      </c>
      <c r="E29" s="4" t="inlineStr">
        <is>
          <t>haiku</t>
        </is>
      </c>
      <c r="F29" s="4" t="n">
        <v>1</v>
      </c>
      <c r="G29" s="4" t="inlineStr">
        <is>
          <t>—</t>
        </is>
      </c>
      <c r="H29" s="4" t="inlineStr">
        <is>
          <t>VALIDE</t>
        </is>
      </c>
      <c r="I29" s="5" t="inlineStr"/>
    </row>
    <row r="30">
      <c r="A30" s="4" t="n">
        <v>2</v>
      </c>
      <c r="B30" s="5" t="inlineStr">
        <is>
          <t>P0 · Initialisation et outillage</t>
        </is>
      </c>
      <c r="C30" s="4" t="inlineStr">
        <is>
          <t>P0-T02</t>
        </is>
      </c>
      <c r="D30" s="5" t="inlineStr">
        <is>
          <t>Script de vérification de l'environnement</t>
        </is>
      </c>
      <c r="E30" s="4" t="inlineStr">
        <is>
          <t>haiku</t>
        </is>
      </c>
      <c r="F30" s="4" t="n">
        <v>2</v>
      </c>
      <c r="G30" s="4" t="inlineStr">
        <is>
          <t>P0-T01</t>
        </is>
      </c>
      <c r="H30" s="4" t="inlineStr">
        <is>
          <t>VALIDE</t>
        </is>
      </c>
      <c r="I30" s="5" t="inlineStr">
        <is>
          <t>H-015</t>
        </is>
      </c>
    </row>
    <row r="31">
      <c r="A31" s="4" t="n">
        <v>3</v>
      </c>
      <c r="B31" s="5" t="inlineStr">
        <is>
          <t>P0 · Initialisation et outillage</t>
        </is>
      </c>
      <c r="C31" s="4" t="inlineStr">
        <is>
          <t>P0-T03</t>
        </is>
      </c>
      <c r="D31" s="5" t="inlineStr">
        <is>
          <t>Valider l'instance PostgreSQL de test et le schéma de référence</t>
        </is>
      </c>
      <c r="E31" s="4" t="inlineStr">
        <is>
          <t>sonnet</t>
        </is>
      </c>
      <c r="F31" s="4" t="n">
        <v>3</v>
      </c>
      <c r="G31" s="4" t="inlineStr">
        <is>
          <t>P0-T01</t>
        </is>
      </c>
      <c r="H31" s="4" t="inlineStr">
        <is>
          <t>VALIDE</t>
        </is>
      </c>
      <c r="I31" s="5" t="inlineStr">
        <is>
          <t>H-016</t>
        </is>
      </c>
    </row>
    <row r="32">
      <c r="A32" s="4" t="n">
        <v>4</v>
      </c>
      <c r="B32" s="5" t="inlineStr">
        <is>
          <t>P0 · Initialisation et outillage</t>
        </is>
      </c>
      <c r="C32" s="4" t="inlineStr">
        <is>
          <t>P0-T04</t>
        </is>
      </c>
      <c r="D32" s="5" t="inlineStr">
        <is>
          <t>Conventions de build .NET centralisées</t>
        </is>
      </c>
      <c r="E32" s="4" t="inlineStr">
        <is>
          <t>haiku</t>
        </is>
      </c>
      <c r="F32" s="4" t="n">
        <v>4</v>
      </c>
      <c r="G32" s="4" t="inlineStr">
        <is>
          <t>P0-T01</t>
        </is>
      </c>
      <c r="H32" s="4" t="inlineStr">
        <is>
          <t>VALIDE</t>
        </is>
      </c>
      <c r="I32" s="5" t="inlineStr">
        <is>
          <t>H-017</t>
        </is>
      </c>
    </row>
    <row r="33">
      <c r="A33" s="4" t="n">
        <v>5</v>
      </c>
      <c r="B33" s="5" t="inlineStr">
        <is>
          <t>P0 · Initialisation et outillage</t>
        </is>
      </c>
      <c r="C33" s="4" t="inlineStr">
        <is>
          <t>P0-T05</t>
        </is>
      </c>
      <c r="D33" s="5" t="inlineStr">
        <is>
          <t>Modèles GitLab et guide de contribution</t>
        </is>
      </c>
      <c r="E33" s="4" t="inlineStr">
        <is>
          <t>haiku</t>
        </is>
      </c>
      <c r="F33" s="4" t="n">
        <v>5</v>
      </c>
      <c r="G33" s="4" t="inlineStr">
        <is>
          <t>P0-T01</t>
        </is>
      </c>
      <c r="H33" s="4" t="inlineStr">
        <is>
          <t>VALIDE</t>
        </is>
      </c>
      <c r="I33" s="5" t="inlineStr"/>
    </row>
    <row r="34">
      <c r="A34" s="4" t="n">
        <v>6</v>
      </c>
      <c r="B34" s="5" t="inlineStr">
        <is>
          <t>P0 · Initialisation et outillage</t>
        </is>
      </c>
      <c r="C34" s="4" t="inlineStr">
        <is>
          <t>P0-T06</t>
        </is>
      </c>
      <c r="D34" s="5" t="inlineStr">
        <is>
          <t>Rapport d'outillage Claude Code</t>
        </is>
      </c>
      <c r="E34" s="4" t="inlineStr">
        <is>
          <t>haiku</t>
        </is>
      </c>
      <c r="F34" s="4" t="n">
        <v>6</v>
      </c>
      <c r="G34" s="4" t="inlineStr">
        <is>
          <t>P0-T02</t>
        </is>
      </c>
      <c r="H34" s="4" t="inlineStr">
        <is>
          <t>VALIDE</t>
        </is>
      </c>
      <c r="I34" s="5" t="inlineStr">
        <is>
          <t>H-003, H-018</t>
        </is>
      </c>
    </row>
    <row r="35">
      <c r="A35" s="4" t="n">
        <v>7</v>
      </c>
      <c r="B35" s="5" t="inlineStr">
        <is>
          <t>P1 · Socle backend .NET 10</t>
        </is>
      </c>
      <c r="C35" s="4" t="inlineStr">
        <is>
          <t>P1-T01</t>
        </is>
      </c>
      <c r="D35" s="5" t="inlineStr">
        <is>
          <t>Créer la solution et le projet Gprojet-Backend</t>
        </is>
      </c>
      <c r="E35" s="4" t="inlineStr">
        <is>
          <t>sonnet</t>
        </is>
      </c>
      <c r="F35" s="4" t="n">
        <v>1</v>
      </c>
      <c r="G35" s="4" t="inlineStr">
        <is>
          <t>—</t>
        </is>
      </c>
      <c r="H35" s="4" t="inlineStr">
        <is>
          <t>A_VALIDER</t>
        </is>
      </c>
      <c r="I35" s="5" t="inlineStr"/>
    </row>
    <row r="36">
      <c r="A36" s="4" t="n">
        <v>8</v>
      </c>
      <c r="B36" s="5" t="inlineStr">
        <is>
          <t>P1 · Socle backend .NET 10</t>
        </is>
      </c>
      <c r="C36" s="4" t="inlineStr">
        <is>
          <t>P1-T02</t>
        </is>
      </c>
      <c r="D36" s="5" t="inlineStr">
        <is>
          <t>Tests d'architecture par espace de noms</t>
        </is>
      </c>
      <c r="E36" s="4" t="inlineStr">
        <is>
          <t>opus</t>
        </is>
      </c>
      <c r="F36" s="4" t="n">
        <v>2</v>
      </c>
      <c r="G36" s="4" t="inlineStr">
        <is>
          <t>P1-T01</t>
        </is>
      </c>
      <c r="H36" s="4" t="inlineStr">
        <is>
          <t>A_VALIDER</t>
        </is>
      </c>
      <c r="I36" s="5" t="inlineStr">
        <is>
          <t>H-019</t>
        </is>
      </c>
    </row>
    <row r="37">
      <c r="A37" s="4" t="n">
        <v>9</v>
      </c>
      <c r="B37" s="5" t="inlineStr">
        <is>
          <t>P1 · Socle backend .NET 10</t>
        </is>
      </c>
      <c r="C37" s="4" t="inlineStr">
        <is>
          <t>P1-T03</t>
        </is>
      </c>
      <c r="D37" s="5" t="inlineStr">
        <is>
          <t>Common : primitives transverses</t>
        </is>
      </c>
      <c r="E37" s="4" t="inlineStr">
        <is>
          <t>sonnet</t>
        </is>
      </c>
      <c r="F37" s="4" t="n">
        <v>3</v>
      </c>
      <c r="G37" s="4" t="inlineStr">
        <is>
          <t>P1-T01</t>
        </is>
      </c>
      <c r="H37" s="4" t="inlineStr">
        <is>
          <t>A_VALIDER</t>
        </is>
      </c>
      <c r="I37" s="5" t="inlineStr">
        <is>
          <t>H-020</t>
        </is>
      </c>
    </row>
    <row r="38">
      <c r="A38" s="4" t="n">
        <v>10</v>
      </c>
      <c r="B38" s="5" t="inlineStr">
        <is>
          <t>P1 · Socle backend .NET 10</t>
        </is>
      </c>
      <c r="C38" s="4" t="inlineStr">
        <is>
          <t>P1-T04</t>
        </is>
      </c>
      <c r="D38" s="5" t="inlineStr">
        <is>
          <t>Entités du domaine (6 schémas)</t>
        </is>
      </c>
      <c r="E38" s="4" t="inlineStr">
        <is>
          <t>opus</t>
        </is>
      </c>
      <c r="F38" s="4" t="n">
        <v>4</v>
      </c>
      <c r="G38" s="4" t="inlineStr">
        <is>
          <t>P1-T03</t>
        </is>
      </c>
      <c r="H38" s="4" t="inlineStr">
        <is>
          <t>A_VALIDER</t>
        </is>
      </c>
      <c r="I38" s="5" t="inlineStr">
        <is>
          <t>H-021</t>
        </is>
      </c>
    </row>
    <row r="39">
      <c r="A39" s="4" t="n">
        <v>11</v>
      </c>
      <c r="B39" s="5" t="inlineStr">
        <is>
          <t>P1 · Socle backend .NET 10</t>
        </is>
      </c>
      <c r="C39" s="4" t="inlineStr">
        <is>
          <t>P1-T05</t>
        </is>
      </c>
      <c r="D39" s="5" t="inlineStr">
        <is>
          <t>DbContext et configurations EF Core</t>
        </is>
      </c>
      <c r="E39" s="4" t="inlineStr">
        <is>
          <t>opus</t>
        </is>
      </c>
      <c r="F39" s="4" t="n">
        <v>5</v>
      </c>
      <c r="G39" s="4" t="inlineStr">
        <is>
          <t>P1-T04</t>
        </is>
      </c>
      <c r="H39" s="4" t="inlineStr">
        <is>
          <t>A_VALIDER</t>
        </is>
      </c>
      <c r="I39" s="5" t="inlineStr">
        <is>
          <t>H-022</t>
        </is>
      </c>
    </row>
    <row r="40">
      <c r="A40" s="4" t="n">
        <v>12</v>
      </c>
      <c r="B40" s="5" t="inlineStr">
        <is>
          <t>P1 · Socle backend .NET 10</t>
        </is>
      </c>
      <c r="C40" s="4" t="inlineStr">
        <is>
          <t>P1-T06</t>
        </is>
      </c>
      <c r="D40" s="5" t="inlineStr">
        <is>
          <t>Migration initiale identique au schéma de référence</t>
        </is>
      </c>
      <c r="E40" s="4" t="inlineStr">
        <is>
          <t>opus</t>
        </is>
      </c>
      <c r="F40" s="4" t="n">
        <v>6</v>
      </c>
      <c r="G40" s="4" t="inlineStr">
        <is>
          <t>P1-T05</t>
        </is>
      </c>
      <c r="H40" s="4" t="inlineStr">
        <is>
          <t>EN_COURS</t>
        </is>
      </c>
      <c r="I40" s="5" t="inlineStr">
        <is>
          <t>H-023</t>
        </is>
      </c>
    </row>
    <row r="41">
      <c r="A41" s="4" t="n">
        <v>13</v>
      </c>
      <c r="B41" s="5" t="inlineStr">
        <is>
          <t>P1 · Socle backend .NET 10</t>
        </is>
      </c>
      <c r="C41" s="4" t="inlineStr">
        <is>
          <t>P1-T07</t>
        </is>
      </c>
      <c r="D41" s="5" t="inlineStr">
        <is>
          <t>Intercepteurs : audit, suppression logique, historique chaîné</t>
        </is>
      </c>
      <c r="E41" s="4" t="inlineStr">
        <is>
          <t>sonnet</t>
        </is>
      </c>
      <c r="F41" s="4" t="n">
        <v>7</v>
      </c>
      <c r="G41" s="4" t="inlineStr">
        <is>
          <t>P1-T06</t>
        </is>
      </c>
      <c r="H41" s="4" t="inlineStr">
        <is>
          <t>NON_FAIT</t>
        </is>
      </c>
      <c r="I41" s="5" t="inlineStr"/>
    </row>
    <row r="42">
      <c r="A42" s="4" t="n">
        <v>14</v>
      </c>
      <c r="B42" s="5" t="inlineStr">
        <is>
          <t>P1 · Socle backend .NET 10</t>
        </is>
      </c>
      <c r="C42" s="4" t="inlineStr">
        <is>
          <t>P1-T08</t>
        </is>
      </c>
      <c r="D42" s="5" t="inlineStr">
        <is>
          <t>Unit of Work et repositories de base</t>
        </is>
      </c>
      <c r="E42" s="4" t="inlineStr">
        <is>
          <t>sonnet</t>
        </is>
      </c>
      <c r="F42" s="4" t="n">
        <v>8</v>
      </c>
      <c r="G42" s="4" t="inlineStr">
        <is>
          <t>P1-T06</t>
        </is>
      </c>
      <c r="H42" s="4" t="inlineStr">
        <is>
          <t>NON_FAIT</t>
        </is>
      </c>
      <c r="I42" s="5" t="inlineStr"/>
    </row>
    <row r="43">
      <c r="A43" s="4" t="n">
        <v>15</v>
      </c>
      <c r="B43" s="5" t="inlineStr">
        <is>
          <t>P1 · Socle backend .NET 10</t>
        </is>
      </c>
      <c r="C43" s="4" t="inlineStr">
        <is>
          <t>P1-T09</t>
        </is>
      </c>
      <c r="D43" s="5" t="inlineStr">
        <is>
          <t>Socle API : DI, erreurs, OpenAPI, logs, santé</t>
        </is>
      </c>
      <c r="E43" s="4" t="inlineStr">
        <is>
          <t>sonnet</t>
        </is>
      </c>
      <c r="F43" s="4" t="n">
        <v>9</v>
      </c>
      <c r="G43" s="4" t="inlineStr">
        <is>
          <t>P1-T08</t>
        </is>
      </c>
      <c r="H43" s="4" t="inlineStr">
        <is>
          <t>NON_FAIT</t>
        </is>
      </c>
      <c r="I43" s="5" t="inlineStr">
        <is>
          <t>H-004</t>
        </is>
      </c>
    </row>
    <row r="44">
      <c r="A44" s="4" t="n">
        <v>16</v>
      </c>
      <c r="B44" s="5" t="inlineStr">
        <is>
          <t>P1 · Socle backend .NET 10</t>
        </is>
      </c>
      <c r="C44" s="4" t="inlineStr">
        <is>
          <t>P1-T10</t>
        </is>
      </c>
      <c r="D44" s="5" t="inlineStr">
        <is>
          <t>Authentification de développement et utilisateur courant</t>
        </is>
      </c>
      <c r="E44" s="4" t="inlineStr">
        <is>
          <t>sonnet</t>
        </is>
      </c>
      <c r="F44" s="4" t="n">
        <v>10</v>
      </c>
      <c r="G44" s="4" t="inlineStr">
        <is>
          <t>P1-T09</t>
        </is>
      </c>
      <c r="H44" s="4" t="inlineStr">
        <is>
          <t>NON_FAIT</t>
        </is>
      </c>
      <c r="I44" s="5" t="inlineStr"/>
    </row>
    <row r="45">
      <c r="A45" s="4" t="n">
        <v>17</v>
      </c>
      <c r="B45" s="5" t="inlineStr">
        <is>
          <t>P1 · Socle backend .NET 10</t>
        </is>
      </c>
      <c r="C45" s="4" t="inlineStr">
        <is>
          <t>P1-T11</t>
        </is>
      </c>
      <c r="D45" s="5" t="inlineStr">
        <is>
          <t>Données de démonstration</t>
        </is>
      </c>
      <c r="E45" s="4" t="inlineStr">
        <is>
          <t>haiku</t>
        </is>
      </c>
      <c r="F45" s="4" t="n">
        <v>11</v>
      </c>
      <c r="G45" s="4" t="inlineStr">
        <is>
          <t>P1-T06</t>
        </is>
      </c>
      <c r="H45" s="4" t="inlineStr">
        <is>
          <t>NON_FAIT</t>
        </is>
      </c>
      <c r="I45" s="5" t="inlineStr"/>
    </row>
    <row r="46">
      <c r="A46" s="4" t="n">
        <v>18</v>
      </c>
      <c r="B46" s="5" t="inlineStr">
        <is>
          <t>P2 · Socle frontend Blazor WebAssembly et BFF</t>
        </is>
      </c>
      <c r="C46" s="4" t="inlineStr">
        <is>
          <t>P2-T01</t>
        </is>
      </c>
      <c r="D46" s="5" t="inlineStr">
        <is>
          <t>Projet Gprojet-Front, hébergement par le backend et tests bUnit</t>
        </is>
      </c>
      <c r="E46" s="4" t="inlineStr">
        <is>
          <t>sonnet</t>
        </is>
      </c>
      <c r="F46" s="4" t="n">
        <v>1</v>
      </c>
      <c r="G46" s="4" t="inlineStr">
        <is>
          <t>—</t>
        </is>
      </c>
      <c r="H46" s="4" t="inlineStr">
        <is>
          <t>NON_FAIT</t>
        </is>
      </c>
      <c r="I46" s="5" t="inlineStr"/>
    </row>
    <row r="47">
      <c r="A47" s="4" t="n">
        <v>19</v>
      </c>
      <c r="B47" s="5" t="inlineStr">
        <is>
          <t>P2 · Socle frontend Blazor WebAssembly et BFF</t>
        </is>
      </c>
      <c r="C47" s="4" t="inlineStr">
        <is>
          <t>P2-T02</t>
        </is>
      </c>
      <c r="D47" s="5" t="inlineStr">
        <is>
          <t>Charte HCP : intégration de app.css et des ressources</t>
        </is>
      </c>
      <c r="E47" s="4" t="inlineStr">
        <is>
          <t>sonnet</t>
        </is>
      </c>
      <c r="F47" s="4" t="n">
        <v>2</v>
      </c>
      <c r="G47" s="4" t="inlineStr">
        <is>
          <t>P2-T01</t>
        </is>
      </c>
      <c r="H47" s="4" t="inlineStr">
        <is>
          <t>NON_FAIT</t>
        </is>
      </c>
      <c r="I47" s="5" t="inlineStr">
        <is>
          <t>H-014</t>
        </is>
      </c>
    </row>
    <row r="48">
      <c r="A48" s="4" t="n">
        <v>20</v>
      </c>
      <c r="B48" s="5" t="inlineStr">
        <is>
          <t>P2 · Socle frontend Blazor WebAssembly et BFF</t>
        </is>
      </c>
      <c r="C48" s="4" t="inlineStr">
        <is>
          <t>P2-T03</t>
        </is>
      </c>
      <c r="D48" s="5" t="inlineStr">
        <is>
          <t>Layout principal et navigation par rôle</t>
        </is>
      </c>
      <c r="E48" s="4" t="inlineStr">
        <is>
          <t>sonnet</t>
        </is>
      </c>
      <c r="F48" s="4" t="n">
        <v>3</v>
      </c>
      <c r="G48" s="4" t="inlineStr">
        <is>
          <t>P2-T02</t>
        </is>
      </c>
      <c r="H48" s="4" t="inlineStr">
        <is>
          <t>NON_FAIT</t>
        </is>
      </c>
      <c r="I48" s="5" t="inlineStr"/>
    </row>
    <row r="49">
      <c r="A49" s="4" t="n">
        <v>21</v>
      </c>
      <c r="B49" s="5" t="inlineStr">
        <is>
          <t>P2 · Socle frontend Blazor WebAssembly et BFF</t>
        </is>
      </c>
      <c r="C49" s="4" t="inlineStr">
        <is>
          <t>P2-T04</t>
        </is>
      </c>
      <c r="D49" s="5" t="inlineStr">
        <is>
          <t>Mouvement selon la charte (motion-design)</t>
        </is>
      </c>
      <c r="E49" s="4" t="inlineStr">
        <is>
          <t>sonnet</t>
        </is>
      </c>
      <c r="F49" s="4" t="n">
        <v>4</v>
      </c>
      <c r="G49" s="4" t="inlineStr">
        <is>
          <t>P2-T02</t>
        </is>
      </c>
      <c r="H49" s="4" t="inlineStr">
        <is>
          <t>NON_FAIT</t>
        </is>
      </c>
      <c r="I49" s="5" t="inlineStr"/>
    </row>
    <row r="50">
      <c r="A50" s="4" t="n">
        <v>22</v>
      </c>
      <c r="B50" s="5" t="inlineStr">
        <is>
          <t>P2 · Socle frontend Blazor WebAssembly et BFF</t>
        </is>
      </c>
      <c r="C50" s="4" t="inlineStr">
        <is>
          <t>P2-T05</t>
        </is>
      </c>
      <c r="D50" s="5" t="inlineStr">
        <is>
          <t>Couche Api : clients HTTP typés</t>
        </is>
      </c>
      <c r="E50" s="4" t="inlineStr">
        <is>
          <t>sonnet</t>
        </is>
      </c>
      <c r="F50" s="4" t="n">
        <v>5</v>
      </c>
      <c r="G50" s="4" t="inlineStr">
        <is>
          <t>P2-T01</t>
        </is>
      </c>
      <c r="H50" s="4" t="inlineStr">
        <is>
          <t>NON_FAIT</t>
        </is>
      </c>
      <c r="I50" s="5" t="inlineStr"/>
    </row>
    <row r="51">
      <c r="A51" s="4" t="n">
        <v>23</v>
      </c>
      <c r="B51" s="5" t="inlineStr">
        <is>
          <t>P2 · Socle frontend Blazor WebAssembly et BFF</t>
        </is>
      </c>
      <c r="C51" s="4" t="inlineStr">
        <is>
          <t>P2-T06</t>
        </is>
      </c>
      <c r="D51" s="5" t="inlineStr">
        <is>
          <t>Authentification côté front (BFF, mode dev)</t>
        </is>
      </c>
      <c r="E51" s="4" t="inlineStr">
        <is>
          <t>sonnet</t>
        </is>
      </c>
      <c r="F51" s="4" t="n">
        <v>6</v>
      </c>
      <c r="G51" s="4" t="inlineStr">
        <is>
          <t>P2-T05</t>
        </is>
      </c>
      <c r="H51" s="4" t="inlineStr">
        <is>
          <t>NON_FAIT</t>
        </is>
      </c>
      <c r="I51" s="5" t="inlineStr"/>
    </row>
    <row r="52">
      <c r="A52" s="4" t="n">
        <v>24</v>
      </c>
      <c r="B52" s="5" t="inlineStr">
        <is>
          <t>P2 · Socle frontend Blazor WebAssembly et BFF</t>
        </is>
      </c>
      <c r="C52" s="4" t="inlineStr">
        <is>
          <t>P2-T07</t>
        </is>
      </c>
      <c r="D52" s="5" t="inlineStr">
        <is>
          <t>État partagé et services front de base</t>
        </is>
      </c>
      <c r="E52" s="4" t="inlineStr">
        <is>
          <t>sonnet</t>
        </is>
      </c>
      <c r="F52" s="4" t="n">
        <v>7</v>
      </c>
      <c r="G52" s="4" t="inlineStr">
        <is>
          <t>P2-T06</t>
        </is>
      </c>
      <c r="H52" s="4" t="inlineStr">
        <is>
          <t>NON_FAIT</t>
        </is>
      </c>
      <c r="I52" s="5" t="inlineStr"/>
    </row>
    <row r="53">
      <c r="A53" s="4" t="n">
        <v>25</v>
      </c>
      <c r="B53" s="5" t="inlineStr">
        <is>
          <t>P2 · Socle frontend Blazor WebAssembly et BFF</t>
        </is>
      </c>
      <c r="C53" s="4" t="inlineStr">
        <is>
          <t>P2-T08</t>
        </is>
      </c>
      <c r="D53" s="5" t="inlineStr">
        <is>
          <t>Internationalisation fr / en / ar (RTL)</t>
        </is>
      </c>
      <c r="E53" s="4" t="inlineStr">
        <is>
          <t>sonnet</t>
        </is>
      </c>
      <c r="F53" s="4" t="n">
        <v>8</v>
      </c>
      <c r="G53" s="4" t="inlineStr">
        <is>
          <t>P2-T03</t>
        </is>
      </c>
      <c r="H53" s="4" t="inlineStr">
        <is>
          <t>NON_FAIT</t>
        </is>
      </c>
      <c r="I53" s="5" t="inlineStr"/>
    </row>
    <row r="54">
      <c r="A54" s="4" t="n">
        <v>26</v>
      </c>
      <c r="B54" s="5" t="inlineStr">
        <is>
          <t>P2 · Socle frontend Blazor WebAssembly et BFF</t>
        </is>
      </c>
      <c r="C54" s="4" t="inlineStr">
        <is>
          <t>P2-T09</t>
        </is>
      </c>
      <c r="D54" s="5" t="inlineStr">
        <is>
          <t>Pages système</t>
        </is>
      </c>
      <c r="E54" s="4" t="inlineStr">
        <is>
          <t>haiku</t>
        </is>
      </c>
      <c r="F54" s="4" t="n">
        <v>9</v>
      </c>
      <c r="G54" s="4" t="inlineStr">
        <is>
          <t>P2-T08</t>
        </is>
      </c>
      <c r="H54" s="4" t="inlineStr">
        <is>
          <t>NON_FAIT</t>
        </is>
      </c>
      <c r="I54" s="5" t="inlineStr"/>
    </row>
    <row r="55">
      <c r="A55" s="4" t="n">
        <v>27</v>
      </c>
      <c r="B55" s="5" t="inlineStr">
        <is>
          <t>P3 · Conteneurisation et intégration continue GitHub Actions</t>
        </is>
      </c>
      <c r="C55" s="4" t="inlineStr">
        <is>
          <t>P3-T01</t>
        </is>
      </c>
      <c r="D55" s="5" t="inlineStr">
        <is>
          <t>Dockerfile de l'application</t>
        </is>
      </c>
      <c r="E55" s="4" t="inlineStr">
        <is>
          <t>sonnet</t>
        </is>
      </c>
      <c r="F55" s="4" t="n">
        <v>1</v>
      </c>
      <c r="G55" s="4" t="inlineStr">
        <is>
          <t>—</t>
        </is>
      </c>
      <c r="H55" s="4" t="inlineStr">
        <is>
          <t>NON_FAIT</t>
        </is>
      </c>
      <c r="I55" s="5" t="inlineStr">
        <is>
          <t>H-001</t>
        </is>
      </c>
    </row>
    <row r="56">
      <c r="A56" s="4" t="n">
        <v>28</v>
      </c>
      <c r="B56" s="5" t="inlineStr">
        <is>
          <t>P3 · Conteneurisation et intégration continue GitHub Actions</t>
        </is>
      </c>
      <c r="C56" s="4" t="inlineStr">
        <is>
          <t>P3-T02</t>
        </is>
      </c>
      <c r="D56" s="5" t="inlineStr">
        <is>
          <t>docker compose de développement</t>
        </is>
      </c>
      <c r="E56" s="4" t="inlineStr">
        <is>
          <t>sonnet</t>
        </is>
      </c>
      <c r="F56" s="4" t="n">
        <v>2</v>
      </c>
      <c r="G56" s="4" t="inlineStr">
        <is>
          <t>P3-T01</t>
        </is>
      </c>
      <c r="H56" s="4" t="inlineStr">
        <is>
          <t>NON_FAIT</t>
        </is>
      </c>
      <c r="I56" s="5" t="inlineStr"/>
    </row>
    <row r="57">
      <c r="A57" s="4" t="n">
        <v>29</v>
      </c>
      <c r="B57" s="5" t="inlineStr">
        <is>
          <t>P3 · Conteneurisation et intégration continue GitHub Actions</t>
        </is>
      </c>
      <c r="C57" s="4" t="inlineStr">
        <is>
          <t>P3-T03</t>
        </is>
      </c>
      <c r="D57" s="5" t="inlineStr">
        <is>
          <t>Tests en CI avec PostgreSQL de service</t>
        </is>
      </c>
      <c r="E57" s="4" t="inlineStr">
        <is>
          <t>sonnet</t>
        </is>
      </c>
      <c r="F57" s="4" t="n">
        <v>3</v>
      </c>
      <c r="G57" s="4" t="inlineStr">
        <is>
          <t>—</t>
        </is>
      </c>
      <c r="H57" s="4" t="inlineStr">
        <is>
          <t>NON_FAIT</t>
        </is>
      </c>
      <c r="I57" s="5" t="inlineStr"/>
    </row>
    <row r="58">
      <c r="A58" s="4" t="n">
        <v>30</v>
      </c>
      <c r="B58" s="5" t="inlineStr">
        <is>
          <t>P3 · Conteneurisation et intégration continue GitHub Actions</t>
        </is>
      </c>
      <c r="C58" s="4" t="inlineStr">
        <is>
          <t>P3-T04</t>
        </is>
      </c>
      <c r="D58" s="5" t="inlineStr">
        <is>
          <t>Workflow GitHub Actions</t>
        </is>
      </c>
      <c r="E58" s="4" t="inlineStr">
        <is>
          <t>sonnet</t>
        </is>
      </c>
      <c r="F58" s="4" t="n">
        <v>4</v>
      </c>
      <c r="G58" s="4" t="inlineStr">
        <is>
          <t>P3-T01, P3-T03</t>
        </is>
      </c>
      <c r="H58" s="4" t="inlineStr">
        <is>
          <t>NON_FAIT</t>
        </is>
      </c>
      <c r="I58" s="5" t="inlineStr">
        <is>
          <t>H-002</t>
        </is>
      </c>
    </row>
    <row r="59">
      <c r="A59" s="4" t="n">
        <v>31</v>
      </c>
      <c r="B59" s="5" t="inlineStr">
        <is>
          <t>P3 · Conteneurisation et intégration continue GitHub Actions</t>
        </is>
      </c>
      <c r="C59" s="4" t="inlineStr">
        <is>
          <t>P3-T05</t>
        </is>
      </c>
      <c r="D59" s="5" t="inlineStr">
        <is>
          <t>Documentation de déploiement local</t>
        </is>
      </c>
      <c r="E59" s="4" t="inlineStr">
        <is>
          <t>haiku</t>
        </is>
      </c>
      <c r="F59" s="4" t="n">
        <v>5</v>
      </c>
      <c r="G59" s="4" t="inlineStr">
        <is>
          <t>P3-T02, P3-T04</t>
        </is>
      </c>
      <c r="H59" s="4" t="inlineStr">
        <is>
          <t>NON_FAIT</t>
        </is>
      </c>
      <c r="I59" s="5" t="inlineStr"/>
    </row>
    <row r="60">
      <c r="A60" s="4" t="n">
        <v>32</v>
      </c>
      <c r="B60" s="5" t="inlineStr">
        <is>
          <t>P4 · Module Organisation et périmètre hiérarchique</t>
        </is>
      </c>
      <c r="C60" s="4" t="inlineStr">
        <is>
          <t>P4-T01</t>
        </is>
      </c>
      <c r="D60" s="5" t="inlineStr">
        <is>
          <t>Service de périmètre et rôles déduits</t>
        </is>
      </c>
      <c r="E60" s="4" t="inlineStr">
        <is>
          <t>opus</t>
        </is>
      </c>
      <c r="F60" s="4" t="n">
        <v>1</v>
      </c>
      <c r="G60" s="4" t="inlineStr">
        <is>
          <t>—</t>
        </is>
      </c>
      <c r="H60" s="4" t="inlineStr">
        <is>
          <t>NON_FAIT</t>
        </is>
      </c>
      <c r="I60" s="5" t="inlineStr"/>
    </row>
    <row r="61">
      <c r="A61" s="4" t="n">
        <v>33</v>
      </c>
      <c r="B61" s="5" t="inlineStr">
        <is>
          <t>P4 · Module Organisation et périmètre hiérarchique</t>
        </is>
      </c>
      <c r="C61" s="4" t="inlineStr">
        <is>
          <t>P4-T02</t>
        </is>
      </c>
      <c r="D61" s="5" t="inlineStr">
        <is>
          <t>Organigramme : API</t>
        </is>
      </c>
      <c r="E61" s="4" t="inlineStr">
        <is>
          <t>sonnet</t>
        </is>
      </c>
      <c r="F61" s="4" t="n">
        <v>2</v>
      </c>
      <c r="G61" s="4" t="inlineStr">
        <is>
          <t>P4-T01</t>
        </is>
      </c>
      <c r="H61" s="4" t="inlineStr">
        <is>
          <t>NON_FAIT</t>
        </is>
      </c>
      <c r="I61" s="5" t="inlineStr"/>
    </row>
    <row r="62">
      <c r="A62" s="4" t="n">
        <v>34</v>
      </c>
      <c r="B62" s="5" t="inlineStr">
        <is>
          <t>P4 · Module Organisation et périmètre hiérarchique</t>
        </is>
      </c>
      <c r="C62" s="4" t="inlineStr">
        <is>
          <t>P4-T03</t>
        </is>
      </c>
      <c r="D62" s="5" t="inlineStr">
        <is>
          <t>Agents, rattachements et compétences : API</t>
        </is>
      </c>
      <c r="E62" s="4" t="inlineStr">
        <is>
          <t>sonnet</t>
        </is>
      </c>
      <c r="F62" s="4" t="n">
        <v>3</v>
      </c>
      <c r="G62" s="4" t="inlineStr">
        <is>
          <t>P4-T02</t>
        </is>
      </c>
      <c r="H62" s="4" t="inlineStr">
        <is>
          <t>NON_FAIT</t>
        </is>
      </c>
      <c r="I62" s="5" t="inlineStr"/>
    </row>
    <row r="63">
      <c r="A63" s="4" t="n">
        <v>35</v>
      </c>
      <c r="B63" s="5" t="inlineStr">
        <is>
          <t>P4 · Module Organisation et périmètre hiérarchique</t>
        </is>
      </c>
      <c r="C63" s="4" t="inlineStr">
        <is>
          <t>P4-T04</t>
        </is>
      </c>
      <c r="D63" s="5" t="inlineStr">
        <is>
          <t>Délégations, absences et calendrier : API</t>
        </is>
      </c>
      <c r="E63" s="4" t="inlineStr">
        <is>
          <t>sonnet</t>
        </is>
      </c>
      <c r="F63" s="4" t="n">
        <v>4</v>
      </c>
      <c r="G63" s="4" t="inlineStr">
        <is>
          <t>P4-T01</t>
        </is>
      </c>
      <c r="H63" s="4" t="inlineStr">
        <is>
          <t>NON_FAIT</t>
        </is>
      </c>
      <c r="I63" s="5" t="inlineStr"/>
    </row>
    <row r="64">
      <c r="A64" s="4" t="n">
        <v>36</v>
      </c>
      <c r="B64" s="5" t="inlineStr">
        <is>
          <t>P4 · Module Organisation et périmètre hiérarchique</t>
        </is>
      </c>
      <c r="C64" s="4" t="inlineStr">
        <is>
          <t>P4-T05</t>
        </is>
      </c>
      <c r="D64" s="5" t="inlineStr">
        <is>
          <t>Pages organigramme</t>
        </is>
      </c>
      <c r="E64" s="4" t="inlineStr">
        <is>
          <t>sonnet</t>
        </is>
      </c>
      <c r="F64" s="4" t="n">
        <v>5</v>
      </c>
      <c r="G64" s="4" t="inlineStr">
        <is>
          <t>P4-T02</t>
        </is>
      </c>
      <c r="H64" s="4" t="inlineStr">
        <is>
          <t>NON_FAIT</t>
        </is>
      </c>
      <c r="I64" s="5" t="inlineStr"/>
    </row>
    <row r="65">
      <c r="A65" s="4" t="n">
        <v>37</v>
      </c>
      <c r="B65" s="5" t="inlineStr">
        <is>
          <t>P4 · Module Organisation et périmètre hiérarchique</t>
        </is>
      </c>
      <c r="C65" s="4" t="inlineStr">
        <is>
          <t>P4-T06</t>
        </is>
      </c>
      <c r="D65" s="5" t="inlineStr">
        <is>
          <t>Pages agents</t>
        </is>
      </c>
      <c r="E65" s="4" t="inlineStr">
        <is>
          <t>sonnet</t>
        </is>
      </c>
      <c r="F65" s="4" t="n">
        <v>6</v>
      </c>
      <c r="G65" s="4" t="inlineStr">
        <is>
          <t>P4-T03</t>
        </is>
      </c>
      <c r="H65" s="4" t="inlineStr">
        <is>
          <t>NON_FAIT</t>
        </is>
      </c>
      <c r="I65" s="5" t="inlineStr"/>
    </row>
    <row r="66">
      <c r="A66" s="4" t="n">
        <v>38</v>
      </c>
      <c r="B66" s="5" t="inlineStr">
        <is>
          <t>P4 · Module Organisation et périmètre hiérarchique</t>
        </is>
      </c>
      <c r="C66" s="4" t="inlineStr">
        <is>
          <t>P4-T07</t>
        </is>
      </c>
      <c r="D66" s="5" t="inlineStr">
        <is>
          <t>Pages délégations, absences et calendrier</t>
        </is>
      </c>
      <c r="E66" s="4" t="inlineStr">
        <is>
          <t>sonnet</t>
        </is>
      </c>
      <c r="F66" s="4" t="n">
        <v>7</v>
      </c>
      <c r="G66" s="4" t="inlineStr">
        <is>
          <t>P4-T04</t>
        </is>
      </c>
      <c r="H66" s="4" t="inlineStr">
        <is>
          <t>NON_FAIT</t>
        </is>
      </c>
      <c r="I66" s="5" t="inlineStr"/>
    </row>
    <row r="67">
      <c r="A67" s="4" t="n">
        <v>39</v>
      </c>
      <c r="B67" s="5" t="inlineStr">
        <is>
          <t>P4 · Module Organisation et périmètre hiérarchique</t>
        </is>
      </c>
      <c r="C67" s="4" t="inlineStr">
        <is>
          <t>P4-T08</t>
        </is>
      </c>
      <c r="D67" s="5" t="inlineStr">
        <is>
          <t>Documentation fonctionnelle du module</t>
        </is>
      </c>
      <c r="E67" s="4" t="inlineStr">
        <is>
          <t>haiku</t>
        </is>
      </c>
      <c r="F67" s="4" t="n">
        <v>8</v>
      </c>
      <c r="G67" s="4" t="inlineStr">
        <is>
          <t>P4-T05, P4-T06, P4-T07</t>
        </is>
      </c>
      <c r="H67" s="4" t="inlineStr">
        <is>
          <t>NON_FAIT</t>
        </is>
      </c>
      <c r="I67" s="5" t="inlineStr"/>
    </row>
    <row r="68">
      <c r="A68" s="4" t="n">
        <v>40</v>
      </c>
      <c r="B68" s="5" t="inlineStr">
        <is>
          <t>P5 · Projets et affectation en cascade</t>
        </is>
      </c>
      <c r="C68" s="4" t="inlineStr">
        <is>
          <t>P5-T01</t>
        </is>
      </c>
      <c r="D68" s="5" t="inlineStr">
        <is>
          <t>Référentiels : types de projet et modèles de phases</t>
        </is>
      </c>
      <c r="E68" s="4" t="inlineStr">
        <is>
          <t>sonnet</t>
        </is>
      </c>
      <c r="F68" s="4" t="n">
        <v>1</v>
      </c>
      <c r="G68" s="4" t="inlineStr">
        <is>
          <t>—</t>
        </is>
      </c>
      <c r="H68" s="4" t="inlineStr">
        <is>
          <t>NON_FAIT</t>
        </is>
      </c>
      <c r="I68" s="5" t="inlineStr"/>
    </row>
    <row r="69">
      <c r="A69" s="4" t="n">
        <v>41</v>
      </c>
      <c r="B69" s="5" t="inlineStr">
        <is>
          <t>P5 · Projets et affectation en cascade</t>
        </is>
      </c>
      <c r="C69" s="4" t="inlineStr">
        <is>
          <t>P5-T02</t>
        </is>
      </c>
      <c r="D69" s="5" t="inlineStr">
        <is>
          <t>Création de projet</t>
        </is>
      </c>
      <c r="E69" s="4" t="inlineStr">
        <is>
          <t>opus</t>
        </is>
      </c>
      <c r="F69" s="4" t="n">
        <v>2</v>
      </c>
      <c r="G69" s="4" t="inlineStr">
        <is>
          <t>P5-T01</t>
        </is>
      </c>
      <c r="H69" s="4" t="inlineStr">
        <is>
          <t>NON_FAIT</t>
        </is>
      </c>
      <c r="I69" s="5" t="inlineStr"/>
    </row>
    <row r="70">
      <c r="A70" s="4" t="n">
        <v>42</v>
      </c>
      <c r="B70" s="5" t="inlineStr">
        <is>
          <t>P5 · Projets et affectation en cascade</t>
        </is>
      </c>
      <c r="C70" s="4" t="inlineStr">
        <is>
          <t>P5-T03</t>
        </is>
      </c>
      <c r="D70" s="5" t="inlineStr">
        <is>
          <t>Affectation en cascade</t>
        </is>
      </c>
      <c r="E70" s="4" t="inlineStr">
        <is>
          <t>opus</t>
        </is>
      </c>
      <c r="F70" s="4" t="n">
        <v>3</v>
      </c>
      <c r="G70" s="4" t="inlineStr">
        <is>
          <t>P5-T02</t>
        </is>
      </c>
      <c r="H70" s="4" t="inlineStr">
        <is>
          <t>NON_FAIT</t>
        </is>
      </c>
      <c r="I70" s="5" t="inlineStr"/>
    </row>
    <row r="71">
      <c r="A71" s="4" t="n">
        <v>43</v>
      </c>
      <c r="B71" s="5" t="inlineStr">
        <is>
          <t>P5 · Projets et affectation en cascade</t>
        </is>
      </c>
      <c r="C71" s="4" t="inlineStr">
        <is>
          <t>P5-T04</t>
        </is>
      </c>
      <c r="D71" s="5" t="inlineStr">
        <is>
          <t>Équipe projet</t>
        </is>
      </c>
      <c r="E71" s="4" t="inlineStr">
        <is>
          <t>sonnet</t>
        </is>
      </c>
      <c r="F71" s="4" t="n">
        <v>4</v>
      </c>
      <c r="G71" s="4" t="inlineStr">
        <is>
          <t>P5-T03</t>
        </is>
      </c>
      <c r="H71" s="4" t="inlineStr">
        <is>
          <t>NON_FAIT</t>
        </is>
      </c>
      <c r="I71" s="5" t="inlineStr"/>
    </row>
    <row r="72">
      <c r="A72" s="4" t="n">
        <v>44</v>
      </c>
      <c r="B72" s="5" t="inlineStr">
        <is>
          <t>P5 · Projets et affectation en cascade</t>
        </is>
      </c>
      <c r="C72" s="4" t="inlineStr">
        <is>
          <t>P5-T05</t>
        </is>
      </c>
      <c r="D72" s="5" t="inlineStr">
        <is>
          <t>Jalons et registre RAID</t>
        </is>
      </c>
      <c r="E72" s="4" t="inlineStr">
        <is>
          <t>sonnet</t>
        </is>
      </c>
      <c r="F72" s="4" t="n">
        <v>5</v>
      </c>
      <c r="G72" s="4" t="inlineStr">
        <is>
          <t>P5-T02</t>
        </is>
      </c>
      <c r="H72" s="4" t="inlineStr">
        <is>
          <t>NON_FAIT</t>
        </is>
      </c>
      <c r="I72" s="5" t="inlineStr"/>
    </row>
    <row r="73">
      <c r="A73" s="4" t="n">
        <v>45</v>
      </c>
      <c r="B73" s="5" t="inlineStr">
        <is>
          <t>P5 · Projets et affectation en cascade</t>
        </is>
      </c>
      <c r="C73" s="4" t="inlineStr">
        <is>
          <t>P5-T06</t>
        </is>
      </c>
      <c r="D73" s="5" t="inlineStr">
        <is>
          <t>Politiques d'autorisation et tests anti-fuite</t>
        </is>
      </c>
      <c r="E73" s="4" t="inlineStr">
        <is>
          <t>opus</t>
        </is>
      </c>
      <c r="F73" s="4" t="n">
        <v>6</v>
      </c>
      <c r="G73" s="4" t="inlineStr">
        <is>
          <t>P5-T03, P5-T04</t>
        </is>
      </c>
      <c r="H73" s="4" t="inlineStr">
        <is>
          <t>NON_FAIT</t>
        </is>
      </c>
      <c r="I73" s="5" t="inlineStr"/>
    </row>
    <row r="74">
      <c r="A74" s="4" t="n">
        <v>46</v>
      </c>
      <c r="B74" s="5" t="inlineStr">
        <is>
          <t>P5 · Projets et affectation en cascade</t>
        </is>
      </c>
      <c r="C74" s="4" t="inlineStr">
        <is>
          <t>P5-T07</t>
        </is>
      </c>
      <c r="D74" s="5" t="inlineStr">
        <is>
          <t>Pages portefeuille et création</t>
        </is>
      </c>
      <c r="E74" s="4" t="inlineStr">
        <is>
          <t>sonnet</t>
        </is>
      </c>
      <c r="F74" s="4" t="n">
        <v>7</v>
      </c>
      <c r="G74" s="4" t="inlineStr">
        <is>
          <t>P5-T06</t>
        </is>
      </c>
      <c r="H74" s="4" t="inlineStr">
        <is>
          <t>NON_FAIT</t>
        </is>
      </c>
      <c r="I74" s="5" t="inlineStr"/>
    </row>
    <row r="75">
      <c r="A75" s="4" t="n">
        <v>47</v>
      </c>
      <c r="B75" s="5" t="inlineStr">
        <is>
          <t>P5 · Projets et affectation en cascade</t>
        </is>
      </c>
      <c r="C75" s="4" t="inlineStr">
        <is>
          <t>P5-T08</t>
        </is>
      </c>
      <c r="D75" s="5" t="inlineStr">
        <is>
          <t>Pages d'affectation</t>
        </is>
      </c>
      <c r="E75" s="4" t="inlineStr">
        <is>
          <t>sonnet</t>
        </is>
      </c>
      <c r="F75" s="4" t="n">
        <v>8</v>
      </c>
      <c r="G75" s="4" t="inlineStr">
        <is>
          <t>P5-T07</t>
        </is>
      </c>
      <c r="H75" s="4" t="inlineStr">
        <is>
          <t>NON_FAIT</t>
        </is>
      </c>
      <c r="I75" s="5" t="inlineStr"/>
    </row>
    <row r="76">
      <c r="A76" s="4" t="n">
        <v>48</v>
      </c>
      <c r="B76" s="5" t="inlineStr">
        <is>
          <t>P5 · Projets et affectation en cascade</t>
        </is>
      </c>
      <c r="C76" s="4" t="inlineStr">
        <is>
          <t>P5-T09</t>
        </is>
      </c>
      <c r="D76" s="5" t="inlineStr">
        <is>
          <t>Pages équipe, jalons, RAID</t>
        </is>
      </c>
      <c r="E76" s="4" t="inlineStr">
        <is>
          <t>sonnet</t>
        </is>
      </c>
      <c r="F76" s="4" t="n">
        <v>9</v>
      </c>
      <c r="G76" s="4" t="inlineStr">
        <is>
          <t>P5-T07</t>
        </is>
      </c>
      <c r="H76" s="4" t="inlineStr">
        <is>
          <t>NON_FAIT</t>
        </is>
      </c>
      <c r="I76" s="5" t="inlineStr"/>
    </row>
    <row r="77">
      <c r="A77" s="4" t="n">
        <v>49</v>
      </c>
      <c r="B77" s="5" t="inlineStr">
        <is>
          <t>P5 · Projets et affectation en cascade</t>
        </is>
      </c>
      <c r="C77" s="4" t="inlineStr">
        <is>
          <t>P5-T10</t>
        </is>
      </c>
      <c r="D77" s="5" t="inlineStr">
        <is>
          <t>Tâches planifiées et alerte de non-affectation</t>
        </is>
      </c>
      <c r="E77" s="4" t="inlineStr">
        <is>
          <t>sonnet</t>
        </is>
      </c>
      <c r="F77" s="4" t="n">
        <v>10</v>
      </c>
      <c r="G77" s="4" t="inlineStr">
        <is>
          <t>P5-T03</t>
        </is>
      </c>
      <c r="H77" s="4" t="inlineStr">
        <is>
          <t>NON_FAIT</t>
        </is>
      </c>
      <c r="I77" s="5" t="inlineStr"/>
    </row>
    <row r="78">
      <c r="A78" s="4" t="n">
        <v>50</v>
      </c>
      <c r="B78" s="5" t="inlineStr">
        <is>
          <t>P6 · Planification et ordonnancement</t>
        </is>
      </c>
      <c r="C78" s="4" t="inlineStr">
        <is>
          <t>P6-T01</t>
        </is>
      </c>
      <c r="D78" s="5" t="inlineStr">
        <is>
          <t>Workflows configurables</t>
        </is>
      </c>
      <c r="E78" s="4" t="inlineStr">
        <is>
          <t>sonnet</t>
        </is>
      </c>
      <c r="F78" s="4" t="n">
        <v>1</v>
      </c>
      <c r="G78" s="4" t="inlineStr">
        <is>
          <t>—</t>
        </is>
      </c>
      <c r="H78" s="4" t="inlineStr">
        <is>
          <t>NON_FAIT</t>
        </is>
      </c>
      <c r="I78" s="5" t="inlineStr"/>
    </row>
    <row r="79">
      <c r="A79" s="4" t="n">
        <v>51</v>
      </c>
      <c r="B79" s="5" t="inlineStr">
        <is>
          <t>P6 · Planification et ordonnancement</t>
        </is>
      </c>
      <c r="C79" s="4" t="inlineStr">
        <is>
          <t>P6-T02</t>
        </is>
      </c>
      <c r="D79" s="5" t="inlineStr">
        <is>
          <t>Phases : gestion et ordre</t>
        </is>
      </c>
      <c r="E79" s="4" t="inlineStr">
        <is>
          <t>sonnet</t>
        </is>
      </c>
      <c r="F79" s="4" t="n">
        <v>2</v>
      </c>
      <c r="G79" s="4" t="inlineStr">
        <is>
          <t>P6-T01</t>
        </is>
      </c>
      <c r="H79" s="4" t="inlineStr">
        <is>
          <t>NON_FAIT</t>
        </is>
      </c>
      <c r="I79" s="5" t="inlineStr"/>
    </row>
    <row r="80">
      <c r="A80" s="4" t="n">
        <v>52</v>
      </c>
      <c r="B80" s="5" t="inlineStr">
        <is>
          <t>P6 · Planification et ordonnancement</t>
        </is>
      </c>
      <c r="C80" s="4" t="inlineStr">
        <is>
          <t>P6-T03</t>
        </is>
      </c>
      <c r="D80" s="5" t="inlineStr">
        <is>
          <t>Validation de fin de phase (gate)</t>
        </is>
      </c>
      <c r="E80" s="4" t="inlineStr">
        <is>
          <t>opus</t>
        </is>
      </c>
      <c r="F80" s="4" t="n">
        <v>3</v>
      </c>
      <c r="G80" s="4" t="inlineStr">
        <is>
          <t>P6-T02</t>
        </is>
      </c>
      <c r="H80" s="4" t="inlineStr">
        <is>
          <t>NON_FAIT</t>
        </is>
      </c>
      <c r="I80" s="5" t="inlineStr"/>
    </row>
    <row r="81">
      <c r="A81" s="4" t="n">
        <v>53</v>
      </c>
      <c r="B81" s="5" t="inlineStr">
        <is>
          <t>P6 · Planification et ordonnancement</t>
        </is>
      </c>
      <c r="C81" s="4" t="inlineStr">
        <is>
          <t>P6-T04</t>
        </is>
      </c>
      <c r="D81" s="5" t="inlineStr">
        <is>
          <t>Tâches : gestion, WBS, estimation</t>
        </is>
      </c>
      <c r="E81" s="4" t="inlineStr">
        <is>
          <t>sonnet</t>
        </is>
      </c>
      <c r="F81" s="4" t="n">
        <v>4</v>
      </c>
      <c r="G81" s="4" t="inlineStr">
        <is>
          <t>P6-T02</t>
        </is>
      </c>
      <c r="H81" s="4" t="inlineStr">
        <is>
          <t>NON_FAIT</t>
        </is>
      </c>
      <c r="I81" s="5" t="inlineStr"/>
    </row>
    <row r="82">
      <c r="A82" s="4" t="n">
        <v>54</v>
      </c>
      <c r="B82" s="5" t="inlineStr">
        <is>
          <t>P6 · Planification et ordonnancement</t>
        </is>
      </c>
      <c r="C82" s="4" t="inlineStr">
        <is>
          <t>P6-T05</t>
        </is>
      </c>
      <c r="D82" s="5" t="inlineStr">
        <is>
          <t>Dépendances, cycles et contrôle de démarrage</t>
        </is>
      </c>
      <c r="E82" s="4" t="inlineStr">
        <is>
          <t>opus</t>
        </is>
      </c>
      <c r="F82" s="4" t="n">
        <v>5</v>
      </c>
      <c r="G82" s="4" t="inlineStr">
        <is>
          <t>P6-T04</t>
        </is>
      </c>
      <c r="H82" s="4" t="inlineStr">
        <is>
          <t>NON_FAIT</t>
        </is>
      </c>
      <c r="I82" s="5" t="inlineStr"/>
    </row>
    <row r="83">
      <c r="A83" s="4" t="n">
        <v>55</v>
      </c>
      <c r="B83" s="5" t="inlineStr">
        <is>
          <t>P6 · Planification et ordonnancement</t>
        </is>
      </c>
      <c r="C83" s="4" t="inlineStr">
        <is>
          <t>P6-T06</t>
        </is>
      </c>
      <c r="D83" s="5" t="inlineStr">
        <is>
          <t>Moteur de chemin critique (CPM)</t>
        </is>
      </c>
      <c r="E83" s="4" t="inlineStr">
        <is>
          <t>opus</t>
        </is>
      </c>
      <c r="F83" s="4" t="n">
        <v>6</v>
      </c>
      <c r="G83" s="4" t="inlineStr">
        <is>
          <t>P6-T05</t>
        </is>
      </c>
      <c r="H83" s="4" t="inlineStr">
        <is>
          <t>NON_FAIT</t>
        </is>
      </c>
      <c r="I83" s="5" t="inlineStr"/>
    </row>
    <row r="84">
      <c r="A84" s="4" t="n">
        <v>56</v>
      </c>
      <c r="B84" s="5" t="inlineStr">
        <is>
          <t>P6 · Planification et ordonnancement</t>
        </is>
      </c>
      <c r="C84" s="4" t="inlineStr">
        <is>
          <t>P6-T07</t>
        </is>
      </c>
      <c r="D84" s="5" t="inlineStr">
        <is>
          <t>Tickets</t>
        </is>
      </c>
      <c r="E84" s="4" t="inlineStr">
        <is>
          <t>sonnet</t>
        </is>
      </c>
      <c r="F84" s="4" t="n">
        <v>7</v>
      </c>
      <c r="G84" s="4" t="inlineStr">
        <is>
          <t>P6-T01, P6-T04</t>
        </is>
      </c>
      <c r="H84" s="4" t="inlineStr">
        <is>
          <t>NON_FAIT</t>
        </is>
      </c>
      <c r="I84" s="5" t="inlineStr"/>
    </row>
    <row r="85">
      <c r="A85" s="4" t="n">
        <v>57</v>
      </c>
      <c r="B85" s="5" t="inlineStr">
        <is>
          <t>P6 · Planification et ordonnancement</t>
        </is>
      </c>
      <c r="C85" s="4" t="inlineStr">
        <is>
          <t>P6-T08</t>
        </is>
      </c>
      <c r="D85" s="5" t="inlineStr">
        <is>
          <t>Remontée d'avancement et de charge</t>
        </is>
      </c>
      <c r="E85" s="4" t="inlineStr">
        <is>
          <t>sonnet</t>
        </is>
      </c>
      <c r="F85" s="4" t="n">
        <v>8</v>
      </c>
      <c r="G85" s="4" t="inlineStr">
        <is>
          <t>P6-T07</t>
        </is>
      </c>
      <c r="H85" s="4" t="inlineStr">
        <is>
          <t>NON_FAIT</t>
        </is>
      </c>
      <c r="I85" s="5" t="inlineStr"/>
    </row>
    <row r="86">
      <c r="A86" s="4" t="n">
        <v>58</v>
      </c>
      <c r="B86" s="5" t="inlineStr">
        <is>
          <t>P6 · Planification et ordonnancement</t>
        </is>
      </c>
      <c r="C86" s="4" t="inlineStr">
        <is>
          <t>P6-T09</t>
        </is>
      </c>
      <c r="D86" s="5" t="inlineStr">
        <is>
          <t>Baselines</t>
        </is>
      </c>
      <c r="E86" s="4" t="inlineStr">
        <is>
          <t>sonnet</t>
        </is>
      </c>
      <c r="F86" s="4" t="n">
        <v>9</v>
      </c>
      <c r="G86" s="4" t="inlineStr">
        <is>
          <t>P6-T06</t>
        </is>
      </c>
      <c r="H86" s="4" t="inlineStr">
        <is>
          <t>NON_FAIT</t>
        </is>
      </c>
      <c r="I86" s="5" t="inlineStr"/>
    </row>
    <row r="87">
      <c r="A87" s="4" t="n">
        <v>59</v>
      </c>
      <c r="B87" s="5" t="inlineStr">
        <is>
          <t>P6 · Planification et ordonnancement</t>
        </is>
      </c>
      <c r="C87" s="4" t="inlineStr">
        <is>
          <t>P6-T10</t>
        </is>
      </c>
      <c r="D87" s="5" t="inlineStr">
        <is>
          <t>Pages liste, Kanban et fiches</t>
        </is>
      </c>
      <c r="E87" s="4" t="inlineStr">
        <is>
          <t>sonnet</t>
        </is>
      </c>
      <c r="F87" s="4" t="n">
        <v>10</v>
      </c>
      <c r="G87" s="4" t="inlineStr">
        <is>
          <t>P6-T08</t>
        </is>
      </c>
      <c r="H87" s="4" t="inlineStr">
        <is>
          <t>NON_FAIT</t>
        </is>
      </c>
      <c r="I87" s="5" t="inlineStr"/>
    </row>
    <row r="88">
      <c r="A88" s="4" t="n">
        <v>60</v>
      </c>
      <c r="B88" s="5" t="inlineStr">
        <is>
          <t>P6 · Planification et ordonnancement</t>
        </is>
      </c>
      <c r="C88" s="4" t="inlineStr">
        <is>
          <t>P6-T11</t>
        </is>
      </c>
      <c r="D88" s="5" t="inlineStr">
        <is>
          <t>Gantt et réseau PERT</t>
        </is>
      </c>
      <c r="E88" s="4" t="inlineStr">
        <is>
          <t>opus</t>
        </is>
      </c>
      <c r="F88" s="4" t="n">
        <v>11</v>
      </c>
      <c r="G88" s="4" t="inlineStr">
        <is>
          <t>P6-T06, P6-T10</t>
        </is>
      </c>
      <c r="H88" s="4" t="inlineStr">
        <is>
          <t>NON_FAIT</t>
        </is>
      </c>
      <c r="I88" s="5" t="inlineStr">
        <is>
          <t>H-005</t>
        </is>
      </c>
    </row>
    <row r="89">
      <c r="A89" s="4" t="n">
        <v>61</v>
      </c>
      <c r="B89" s="5" t="inlineStr">
        <is>
          <t>P6 · Planification et ordonnancement</t>
        </is>
      </c>
      <c r="C89" s="4" t="inlineStr">
        <is>
          <t>P6-T12</t>
        </is>
      </c>
      <c r="D89" s="5" t="inlineStr">
        <is>
          <t>Documentation du module</t>
        </is>
      </c>
      <c r="E89" s="4" t="inlineStr">
        <is>
          <t>haiku</t>
        </is>
      </c>
      <c r="F89" s="4" t="n">
        <v>12</v>
      </c>
      <c r="G89" s="4" t="inlineStr">
        <is>
          <t>P6-T11</t>
        </is>
      </c>
      <c r="H89" s="4" t="inlineStr">
        <is>
          <t>NON_FAIT</t>
        </is>
      </c>
      <c r="I89" s="5" t="inlineStr"/>
    </row>
    <row r="90">
      <c r="A90" s="4" t="n">
        <v>62</v>
      </c>
      <c r="B90" s="5" t="inlineStr">
        <is>
          <t>P7 · Coût en temps</t>
        </is>
      </c>
      <c r="C90" s="4" t="inlineStr">
        <is>
          <t>P7-T01</t>
        </is>
      </c>
      <c r="D90" s="5" t="inlineStr">
        <is>
          <t>Référentiels et paramètres du temps</t>
        </is>
      </c>
      <c r="E90" s="4" t="inlineStr">
        <is>
          <t>haiku</t>
        </is>
      </c>
      <c r="F90" s="4" t="n">
        <v>1</v>
      </c>
      <c r="G90" s="4" t="inlineStr">
        <is>
          <t>—</t>
        </is>
      </c>
      <c r="H90" s="4" t="inlineStr">
        <is>
          <t>NON_FAIT</t>
        </is>
      </c>
      <c r="I90" s="5" t="inlineStr"/>
    </row>
    <row r="91">
      <c r="A91" s="4" t="n">
        <v>63</v>
      </c>
      <c r="B91" s="5" t="inlineStr">
        <is>
          <t>P7 · Coût en temps</t>
        </is>
      </c>
      <c r="C91" s="4" t="inlineStr">
        <is>
          <t>P7-T02</t>
        </is>
      </c>
      <c r="D91" s="5" t="inlineStr">
        <is>
          <t>Feuilles de temps et saisies</t>
        </is>
      </c>
      <c r="E91" s="4" t="inlineStr">
        <is>
          <t>sonnet</t>
        </is>
      </c>
      <c r="F91" s="4" t="n">
        <v>2</v>
      </c>
      <c r="G91" s="4" t="inlineStr">
        <is>
          <t>P7-T01</t>
        </is>
      </c>
      <c r="H91" s="4" t="inlineStr">
        <is>
          <t>NON_FAIT</t>
        </is>
      </c>
      <c r="I91" s="5" t="inlineStr"/>
    </row>
    <row r="92">
      <c r="A92" s="4" t="n">
        <v>64</v>
      </c>
      <c r="B92" s="5" t="inlineStr">
        <is>
          <t>P7 · Coût en temps</t>
        </is>
      </c>
      <c r="C92" s="4" t="inlineStr">
        <is>
          <t>P7-T03</t>
        </is>
      </c>
      <c r="D92" s="5" t="inlineStr">
        <is>
          <t>Chronomètre</t>
        </is>
      </c>
      <c r="E92" s="4" t="inlineStr">
        <is>
          <t>sonnet</t>
        </is>
      </c>
      <c r="F92" s="4" t="n">
        <v>3</v>
      </c>
      <c r="G92" s="4" t="inlineStr">
        <is>
          <t>P7-T02</t>
        </is>
      </c>
      <c r="H92" s="4" t="inlineStr">
        <is>
          <t>NON_FAIT</t>
        </is>
      </c>
      <c r="I92" s="5" t="inlineStr"/>
    </row>
    <row r="93">
      <c r="A93" s="4" t="n">
        <v>65</v>
      </c>
      <c r="B93" s="5" t="inlineStr">
        <is>
          <t>P7 · Coût en temps</t>
        </is>
      </c>
      <c r="C93" s="4" t="inlineStr">
        <is>
          <t>P7-T04</t>
        </is>
      </c>
      <c r="D93" s="5" t="inlineStr">
        <is>
          <t>Circuit de validation des temps</t>
        </is>
      </c>
      <c r="E93" s="4" t="inlineStr">
        <is>
          <t>opus</t>
        </is>
      </c>
      <c r="F93" s="4" t="n">
        <v>4</v>
      </c>
      <c r="G93" s="4" t="inlineStr">
        <is>
          <t>P7-T02</t>
        </is>
      </c>
      <c r="H93" s="4" t="inlineStr">
        <is>
          <t>NON_FAIT</t>
        </is>
      </c>
      <c r="I93" s="5" t="inlineStr"/>
    </row>
    <row r="94">
      <c r="A94" s="4" t="n">
        <v>66</v>
      </c>
      <c r="B94" s="5" t="inlineStr">
        <is>
          <t>P7 · Coût en temps</t>
        </is>
      </c>
      <c r="C94" s="4" t="inlineStr">
        <is>
          <t>P7-T05</t>
        </is>
      </c>
      <c r="D94" s="5" t="inlineStr">
        <is>
          <t>Prévu, consommé, reste à faire et alertes</t>
        </is>
      </c>
      <c r="E94" s="4" t="inlineStr">
        <is>
          <t>sonnet</t>
        </is>
      </c>
      <c r="F94" s="4" t="n">
        <v>5</v>
      </c>
      <c r="G94" s="4" t="inlineStr">
        <is>
          <t>P7-T04</t>
        </is>
      </c>
      <c r="H94" s="4" t="inlineStr">
        <is>
          <t>NON_FAIT</t>
        </is>
      </c>
      <c r="I94" s="5" t="inlineStr"/>
    </row>
    <row r="95">
      <c r="A95" s="4" t="n">
        <v>67</v>
      </c>
      <c r="B95" s="5" t="inlineStr">
        <is>
          <t>P7 · Coût en temps</t>
        </is>
      </c>
      <c r="C95" s="4" t="inlineStr">
        <is>
          <t>P7-T06</t>
        </is>
      </c>
      <c r="D95" s="5" t="inlineStr">
        <is>
          <t>Plan de charge et taux d'occupation</t>
        </is>
      </c>
      <c r="E95" s="4" t="inlineStr">
        <is>
          <t>sonnet</t>
        </is>
      </c>
      <c r="F95" s="4" t="n">
        <v>6</v>
      </c>
      <c r="G95" s="4" t="inlineStr">
        <is>
          <t>P7-T05</t>
        </is>
      </c>
      <c r="H95" s="4" t="inlineStr">
        <is>
          <t>NON_FAIT</t>
        </is>
      </c>
      <c r="I95" s="5" t="inlineStr"/>
    </row>
    <row r="96">
      <c r="A96" s="4" t="n">
        <v>68</v>
      </c>
      <c r="B96" s="5" t="inlineStr">
        <is>
          <t>P7 · Coût en temps</t>
        </is>
      </c>
      <c r="C96" s="4" t="inlineStr">
        <is>
          <t>P7-T07</t>
        </is>
      </c>
      <c r="D96" s="5" t="inlineStr">
        <is>
          <t>Pages saisie, chronomètre et validation</t>
        </is>
      </c>
      <c r="E96" s="4" t="inlineStr">
        <is>
          <t>sonnet</t>
        </is>
      </c>
      <c r="F96" s="4" t="n">
        <v>7</v>
      </c>
      <c r="G96" s="4" t="inlineStr">
        <is>
          <t>P7-T04</t>
        </is>
      </c>
      <c r="H96" s="4" t="inlineStr">
        <is>
          <t>NON_FAIT</t>
        </is>
      </c>
      <c r="I96" s="5" t="inlineStr"/>
    </row>
    <row r="97">
      <c r="A97" s="4" t="n">
        <v>69</v>
      </c>
      <c r="B97" s="5" t="inlineStr">
        <is>
          <t>P7 · Coût en temps</t>
        </is>
      </c>
      <c r="C97" s="4" t="inlineStr">
        <is>
          <t>P7-T08</t>
        </is>
      </c>
      <c r="D97" s="5" t="inlineStr">
        <is>
          <t>Page plan de charge</t>
        </is>
      </c>
      <c r="E97" s="4" t="inlineStr">
        <is>
          <t>sonnet</t>
        </is>
      </c>
      <c r="F97" s="4" t="n">
        <v>8</v>
      </c>
      <c r="G97" s="4" t="inlineStr">
        <is>
          <t>P7-T06</t>
        </is>
      </c>
      <c r="H97" s="4" t="inlineStr">
        <is>
          <t>NON_FAIT</t>
        </is>
      </c>
      <c r="I97" s="5" t="inlineStr"/>
    </row>
    <row r="98">
      <c r="A98" s="4" t="n">
        <v>70</v>
      </c>
      <c r="B98" s="5" t="inlineStr">
        <is>
          <t>P8 · Reporting par niveau hiérarchique</t>
        </is>
      </c>
      <c r="C98" s="4" t="inlineStr">
        <is>
          <t>P8-T01</t>
        </is>
      </c>
      <c r="D98" s="5" t="inlineStr">
        <is>
          <t>Requêtes de reporting</t>
        </is>
      </c>
      <c r="E98" s="4" t="inlineStr">
        <is>
          <t>opus</t>
        </is>
      </c>
      <c r="F98" s="4" t="n">
        <v>1</v>
      </c>
      <c r="G98" s="4" t="inlineStr">
        <is>
          <t>—</t>
        </is>
      </c>
      <c r="H98" s="4" t="inlineStr">
        <is>
          <t>NON_FAIT</t>
        </is>
      </c>
      <c r="I98" s="5" t="inlineStr"/>
    </row>
    <row r="99">
      <c r="A99" s="4" t="n">
        <v>71</v>
      </c>
      <c r="B99" s="5" t="inlineStr">
        <is>
          <t>P8 · Reporting par niveau hiérarchique</t>
        </is>
      </c>
      <c r="C99" s="4" t="inlineStr">
        <is>
          <t>P8-T02</t>
        </is>
      </c>
      <c r="D99" s="5" t="inlineStr">
        <is>
          <t>Tableau de bord Directeur</t>
        </is>
      </c>
      <c r="E99" s="4" t="inlineStr">
        <is>
          <t>sonnet</t>
        </is>
      </c>
      <c r="F99" s="4" t="n">
        <v>2</v>
      </c>
      <c r="G99" s="4" t="inlineStr">
        <is>
          <t>P8-T01</t>
        </is>
      </c>
      <c r="H99" s="4" t="inlineStr">
        <is>
          <t>NON_FAIT</t>
        </is>
      </c>
      <c r="I99" s="5" t="inlineStr"/>
    </row>
    <row r="100">
      <c r="A100" s="4" t="n">
        <v>72</v>
      </c>
      <c r="B100" s="5" t="inlineStr">
        <is>
          <t>P8 · Reporting par niveau hiérarchique</t>
        </is>
      </c>
      <c r="C100" s="4" t="inlineStr">
        <is>
          <t>P8-T03</t>
        </is>
      </c>
      <c r="D100" s="5" t="inlineStr">
        <is>
          <t>Tableau de bord Chef de division</t>
        </is>
      </c>
      <c r="E100" s="4" t="inlineStr">
        <is>
          <t>sonnet</t>
        </is>
      </c>
      <c r="F100" s="4" t="n">
        <v>3</v>
      </c>
      <c r="G100" s="4" t="inlineStr">
        <is>
          <t>P8-T01</t>
        </is>
      </c>
      <c r="H100" s="4" t="inlineStr">
        <is>
          <t>NON_FAIT</t>
        </is>
      </c>
      <c r="I100" s="5" t="inlineStr"/>
    </row>
    <row r="101">
      <c r="A101" s="4" t="n">
        <v>73</v>
      </c>
      <c r="B101" s="5" t="inlineStr">
        <is>
          <t>P8 · Reporting par niveau hiérarchique</t>
        </is>
      </c>
      <c r="C101" s="4" t="inlineStr">
        <is>
          <t>P8-T04</t>
        </is>
      </c>
      <c r="D101" s="5" t="inlineStr">
        <is>
          <t>Tableau de bord Chef de service</t>
        </is>
      </c>
      <c r="E101" s="4" t="inlineStr">
        <is>
          <t>sonnet</t>
        </is>
      </c>
      <c r="F101" s="4" t="n">
        <v>4</v>
      </c>
      <c r="G101" s="4" t="inlineStr">
        <is>
          <t>P8-T01</t>
        </is>
      </c>
      <c r="H101" s="4" t="inlineStr">
        <is>
          <t>NON_FAIT</t>
        </is>
      </c>
      <c r="I101" s="5" t="inlineStr"/>
    </row>
    <row r="102">
      <c r="A102" s="4" t="n">
        <v>74</v>
      </c>
      <c r="B102" s="5" t="inlineStr">
        <is>
          <t>P8 · Reporting par niveau hiérarchique</t>
        </is>
      </c>
      <c r="C102" s="4" t="inlineStr">
        <is>
          <t>P8-T05</t>
        </is>
      </c>
      <c r="D102" s="5" t="inlineStr">
        <is>
          <t>Tableau de bord Agent</t>
        </is>
      </c>
      <c r="E102" s="4" t="inlineStr">
        <is>
          <t>sonnet</t>
        </is>
      </c>
      <c r="F102" s="4" t="n">
        <v>5</v>
      </c>
      <c r="G102" s="4" t="inlineStr">
        <is>
          <t>P8-T01</t>
        </is>
      </c>
      <c r="H102" s="4" t="inlineStr">
        <is>
          <t>NON_FAIT</t>
        </is>
      </c>
      <c r="I102" s="5" t="inlineStr"/>
    </row>
    <row r="103">
      <c r="A103" s="4" t="n">
        <v>75</v>
      </c>
      <c r="B103" s="5" t="inlineStr">
        <is>
          <t>P8 · Reporting par niveau hiérarchique</t>
        </is>
      </c>
      <c r="C103" s="4" t="inlineStr">
        <is>
          <t>P8-T06</t>
        </is>
      </c>
      <c r="D103" s="5" t="inlineStr">
        <is>
          <t>Navigation de drill-down</t>
        </is>
      </c>
      <c r="E103" s="4" t="inlineStr">
        <is>
          <t>sonnet</t>
        </is>
      </c>
      <c r="F103" s="4" t="n">
        <v>6</v>
      </c>
      <c r="G103" s="4" t="inlineStr">
        <is>
          <t>P8-T02, P8-T03, P8-T04</t>
        </is>
      </c>
      <c r="H103" s="4" t="inlineStr">
        <is>
          <t>NON_FAIT</t>
        </is>
      </c>
      <c r="I103" s="5" t="inlineStr"/>
    </row>
    <row r="104">
      <c r="A104" s="4" t="n">
        <v>76</v>
      </c>
      <c r="B104" s="5" t="inlineStr">
        <is>
          <t>P8 · Reporting par niveau hiérarchique</t>
        </is>
      </c>
      <c r="C104" s="4" t="inlineStr">
        <is>
          <t>P8-T07</t>
        </is>
      </c>
      <c r="D104" s="5" t="inlineStr">
        <is>
          <t>Exports Excel et PDF</t>
        </is>
      </c>
      <c r="E104" s="4" t="inlineStr">
        <is>
          <t>sonnet</t>
        </is>
      </c>
      <c r="F104" s="4" t="n">
        <v>7</v>
      </c>
      <c r="G104" s="4" t="inlineStr">
        <is>
          <t>P8-T01</t>
        </is>
      </c>
      <c r="H104" s="4" t="inlineStr">
        <is>
          <t>NON_FAIT</t>
        </is>
      </c>
      <c r="I104" s="5" t="inlineStr">
        <is>
          <t>H-006, H-007</t>
        </is>
      </c>
    </row>
    <row r="105">
      <c r="A105" s="4" t="n">
        <v>77</v>
      </c>
      <c r="B105" s="5" t="inlineStr">
        <is>
          <t>P8 · Reporting par niveau hiérarchique</t>
        </is>
      </c>
      <c r="C105" s="4" t="inlineStr">
        <is>
          <t>P8-T08</t>
        </is>
      </c>
      <c r="D105" s="5" t="inlineStr">
        <is>
          <t>Rapports planifiés par e-mail</t>
        </is>
      </c>
      <c r="E105" s="4" t="inlineStr">
        <is>
          <t>sonnet</t>
        </is>
      </c>
      <c r="F105" s="4" t="n">
        <v>8</v>
      </c>
      <c r="G105" s="4" t="inlineStr">
        <is>
          <t>P8-T07</t>
        </is>
      </c>
      <c r="H105" s="4" t="inlineStr">
        <is>
          <t>NON_FAIT</t>
        </is>
      </c>
      <c r="I105" s="5" t="inlineStr"/>
    </row>
    <row r="106">
      <c r="A106" s="4" t="n">
        <v>78</v>
      </c>
      <c r="B106" s="5" t="inlineStr">
        <is>
          <t>P9 · Collaboration et services transverses</t>
        </is>
      </c>
      <c r="C106" s="4" t="inlineStr">
        <is>
          <t>P9-T01</t>
        </is>
      </c>
      <c r="D106" s="5" t="inlineStr">
        <is>
          <t>Commentaires et mentions</t>
        </is>
      </c>
      <c r="E106" s="4" t="inlineStr">
        <is>
          <t>sonnet</t>
        </is>
      </c>
      <c r="F106" s="4" t="n">
        <v>1</v>
      </c>
      <c r="G106" s="4" t="inlineStr">
        <is>
          <t>—</t>
        </is>
      </c>
      <c r="H106" s="4" t="inlineStr">
        <is>
          <t>NON_FAIT</t>
        </is>
      </c>
      <c r="I106" s="5" t="inlineStr"/>
    </row>
    <row r="107">
      <c r="A107" s="4" t="n">
        <v>79</v>
      </c>
      <c r="B107" s="5" t="inlineStr">
        <is>
          <t>P9 · Collaboration et services transverses</t>
        </is>
      </c>
      <c r="C107" s="4" t="inlineStr">
        <is>
          <t>P9-T02</t>
        </is>
      </c>
      <c r="D107" s="5" t="inlineStr">
        <is>
          <t>Pièces jointes</t>
        </is>
      </c>
      <c r="E107" s="4" t="inlineStr">
        <is>
          <t>sonnet</t>
        </is>
      </c>
      <c r="F107" s="4" t="n">
        <v>2</v>
      </c>
      <c r="G107" s="4" t="inlineStr">
        <is>
          <t>—</t>
        </is>
      </c>
      <c r="H107" s="4" t="inlineStr">
        <is>
          <t>NON_FAIT</t>
        </is>
      </c>
      <c r="I107" s="5" t="inlineStr">
        <is>
          <t>H-008</t>
        </is>
      </c>
    </row>
    <row r="108">
      <c r="A108" s="4" t="n">
        <v>80</v>
      </c>
      <c r="B108" s="5" t="inlineStr">
        <is>
          <t>P9 · Collaboration et services transverses</t>
        </is>
      </c>
      <c r="C108" s="4" t="inlineStr">
        <is>
          <t>P9-T03</t>
        </is>
      </c>
      <c r="D108" s="5" t="inlineStr">
        <is>
          <t>Notifications temps réel</t>
        </is>
      </c>
      <c r="E108" s="4" t="inlineStr">
        <is>
          <t>sonnet</t>
        </is>
      </c>
      <c r="F108" s="4" t="n">
        <v>3</v>
      </c>
      <c r="G108" s="4" t="inlineStr">
        <is>
          <t>P9-T01</t>
        </is>
      </c>
      <c r="H108" s="4" t="inlineStr">
        <is>
          <t>NON_FAIT</t>
        </is>
      </c>
      <c r="I108" s="5" t="inlineStr"/>
    </row>
    <row r="109">
      <c r="A109" s="4" t="n">
        <v>81</v>
      </c>
      <c r="B109" s="5" t="inlineStr">
        <is>
          <t>P9 · Collaboration et services transverses</t>
        </is>
      </c>
      <c r="C109" s="4" t="inlineStr">
        <is>
          <t>P9-T04</t>
        </is>
      </c>
      <c r="D109" s="5" t="inlineStr">
        <is>
          <t>Abonnements (observateurs)</t>
        </is>
      </c>
      <c r="E109" s="4" t="inlineStr">
        <is>
          <t>sonnet</t>
        </is>
      </c>
      <c r="F109" s="4" t="n">
        <v>4</v>
      </c>
      <c r="G109" s="4" t="inlineStr">
        <is>
          <t>P9-T03</t>
        </is>
      </c>
      <c r="H109" s="4" t="inlineStr">
        <is>
          <t>NON_FAIT</t>
        </is>
      </c>
      <c r="I109" s="5" t="inlineStr"/>
    </row>
    <row r="110">
      <c r="A110" s="4" t="n">
        <v>82</v>
      </c>
      <c r="B110" s="5" t="inlineStr">
        <is>
          <t>P9 · Collaboration et services transverses</t>
        </is>
      </c>
      <c r="C110" s="4" t="inlineStr">
        <is>
          <t>P9-T05</t>
        </is>
      </c>
      <c r="D110" s="5" t="inlineStr">
        <is>
          <t>Historique et vérification d'intégrité</t>
        </is>
      </c>
      <c r="E110" s="4" t="inlineStr">
        <is>
          <t>sonnet</t>
        </is>
      </c>
      <c r="F110" s="4" t="n">
        <v>5</v>
      </c>
      <c r="G110" s="4" t="inlineStr">
        <is>
          <t>—</t>
        </is>
      </c>
      <c r="H110" s="4" t="inlineStr">
        <is>
          <t>NON_FAIT</t>
        </is>
      </c>
      <c r="I110" s="5" t="inlineStr"/>
    </row>
    <row r="111">
      <c r="A111" s="4" t="n">
        <v>83</v>
      </c>
      <c r="B111" s="5" t="inlineStr">
        <is>
          <t>P10 · Modélisation et diagrammes</t>
        </is>
      </c>
      <c r="C111" s="4" t="inlineStr">
        <is>
          <t>P10-T01</t>
        </is>
      </c>
      <c r="D111" s="5" t="inlineStr">
        <is>
          <t>API du métamodèle</t>
        </is>
      </c>
      <c r="E111" s="4" t="inlineStr">
        <is>
          <t>sonnet</t>
        </is>
      </c>
      <c r="F111" s="4" t="n">
        <v>1</v>
      </c>
      <c r="G111" s="4" t="inlineStr">
        <is>
          <t>—</t>
        </is>
      </c>
      <c r="H111" s="4" t="inlineStr">
        <is>
          <t>NON_FAIT</t>
        </is>
      </c>
      <c r="I111" s="5" t="inlineStr"/>
    </row>
    <row r="112">
      <c r="A112" s="4" t="n">
        <v>84</v>
      </c>
      <c r="B112" s="5" t="inlineStr">
        <is>
          <t>P10 · Modélisation et diagrammes</t>
        </is>
      </c>
      <c r="C112" s="4" t="inlineStr">
        <is>
          <t>P10-T02</t>
        </is>
      </c>
      <c r="D112" s="5" t="inlineStr">
        <is>
          <t>Contrôle de cohérence d'un modèle</t>
        </is>
      </c>
      <c r="E112" s="4" t="inlineStr">
        <is>
          <t>opus</t>
        </is>
      </c>
      <c r="F112" s="4" t="n">
        <v>2</v>
      </c>
      <c r="G112" s="4" t="inlineStr">
        <is>
          <t>P10-T01</t>
        </is>
      </c>
      <c r="H112" s="4" t="inlineStr">
        <is>
          <t>NON_FAIT</t>
        </is>
      </c>
      <c r="I112" s="5" t="inlineStr"/>
    </row>
    <row r="113">
      <c r="A113" s="4" t="n">
        <v>85</v>
      </c>
      <c r="B113" s="5" t="inlineStr">
        <is>
          <t>P10 · Modélisation et diagrammes</t>
        </is>
      </c>
      <c r="C113" s="4" t="inlineStr">
        <is>
          <t>P10-T03</t>
        </is>
      </c>
      <c r="D113" s="5" t="inlineStr">
        <is>
          <t>Transformation MCD → MLD (règles R1 à R10)</t>
        </is>
      </c>
      <c r="E113" s="4" t="inlineStr">
        <is>
          <t>opus</t>
        </is>
      </c>
      <c r="F113" s="4" t="n">
        <v>3</v>
      </c>
      <c r="G113" s="4" t="inlineStr">
        <is>
          <t>P10-T02</t>
        </is>
      </c>
      <c r="H113" s="4" t="inlineStr">
        <is>
          <t>NON_FAIT</t>
        </is>
      </c>
      <c r="I113" s="5" t="inlineStr"/>
    </row>
    <row r="114">
      <c r="A114" s="4" t="n">
        <v>86</v>
      </c>
      <c r="B114" s="5" t="inlineStr">
        <is>
          <t>P10 · Modélisation et diagrammes</t>
        </is>
      </c>
      <c r="C114" s="4" t="inlineStr">
        <is>
          <t>P10-T04</t>
        </is>
      </c>
      <c r="D114" s="5" t="inlineStr">
        <is>
          <t>Génération SQL (MPD) PostgreSQL</t>
        </is>
      </c>
      <c r="E114" s="4" t="inlineStr">
        <is>
          <t>opus</t>
        </is>
      </c>
      <c r="F114" s="4" t="n">
        <v>4</v>
      </c>
      <c r="G114" s="4" t="inlineStr">
        <is>
          <t>P10-T03</t>
        </is>
      </c>
      <c r="H114" s="4" t="inlineStr">
        <is>
          <t>NON_FAIT</t>
        </is>
      </c>
      <c r="I114" s="5" t="inlineStr"/>
    </row>
    <row r="115">
      <c r="A115" s="4" t="n">
        <v>87</v>
      </c>
      <c r="B115" s="5" t="inlineStr">
        <is>
          <t>P10 · Modélisation et diagrammes</t>
        </is>
      </c>
      <c r="C115" s="4" t="inlineStr">
        <is>
          <t>P10-T05</t>
        </is>
      </c>
      <c r="D115" s="5" t="inlineStr">
        <is>
          <t>Import / export et rétro-ingénierie</t>
        </is>
      </c>
      <c r="E115" s="4" t="inlineStr">
        <is>
          <t>opus</t>
        </is>
      </c>
      <c r="F115" s="4" t="n">
        <v>5</v>
      </c>
      <c r="G115" s="4" t="inlineStr">
        <is>
          <t>P10-T04</t>
        </is>
      </c>
      <c r="H115" s="4" t="inlineStr">
        <is>
          <t>NON_FAIT</t>
        </is>
      </c>
      <c r="I115" s="5" t="inlineStr"/>
    </row>
    <row r="116">
      <c r="A116" s="4" t="n">
        <v>88</v>
      </c>
      <c r="B116" s="5" t="inlineStr">
        <is>
          <t>P10 · Modélisation et diagrammes</t>
        </is>
      </c>
      <c r="C116" s="4" t="inlineStr">
        <is>
          <t>P10-T06</t>
        </is>
      </c>
      <c r="D116" s="5" t="inlineStr">
        <is>
          <t>Dogfooding : la plateforme se décrit elle-même</t>
        </is>
      </c>
      <c r="E116" s="4" t="inlineStr">
        <is>
          <t>opus</t>
        </is>
      </c>
      <c r="F116" s="4" t="n">
        <v>6</v>
      </c>
      <c r="G116" s="4" t="inlineStr">
        <is>
          <t>P10-T05</t>
        </is>
      </c>
      <c r="H116" s="4" t="inlineStr">
        <is>
          <t>NON_FAIT</t>
        </is>
      </c>
      <c r="I116" s="5" t="inlineStr"/>
    </row>
    <row r="117">
      <c r="A117" s="4" t="n">
        <v>89</v>
      </c>
      <c r="B117" s="5" t="inlineStr">
        <is>
          <t>P10 · Modélisation et diagrammes</t>
        </is>
      </c>
      <c r="C117" s="4" t="inlineStr">
        <is>
          <t>P10-T07</t>
        </is>
      </c>
      <c r="D117" s="5" t="inlineStr">
        <is>
          <t>Éditeur visuel MCD / classes</t>
        </is>
      </c>
      <c r="E117" s="4" t="inlineStr">
        <is>
          <t>opus</t>
        </is>
      </c>
      <c r="F117" s="4" t="n">
        <v>7</v>
      </c>
      <c r="G117" s="4" t="inlineStr">
        <is>
          <t>P10-T01</t>
        </is>
      </c>
      <c r="H117" s="4" t="inlineStr">
        <is>
          <t>NON_FAIT</t>
        </is>
      </c>
      <c r="I117" s="5" t="inlineStr">
        <is>
          <t>H-009</t>
        </is>
      </c>
    </row>
    <row r="118">
      <c r="A118" s="4" t="n">
        <v>90</v>
      </c>
      <c r="B118" s="5" t="inlineStr">
        <is>
          <t>P10 · Modélisation et diagrammes</t>
        </is>
      </c>
      <c r="C118" s="4" t="inlineStr">
        <is>
          <t>P10-T08</t>
        </is>
      </c>
      <c r="D118" s="5" t="inlineStr">
        <is>
          <t>Diagrammes documentaires</t>
        </is>
      </c>
      <c r="E118" s="4" t="inlineStr">
        <is>
          <t>sonnet</t>
        </is>
      </c>
      <c r="F118" s="4" t="n">
        <v>8</v>
      </c>
      <c r="G118" s="4" t="inlineStr">
        <is>
          <t>P10-T01</t>
        </is>
      </c>
      <c r="H118" s="4" t="inlineStr">
        <is>
          <t>NON_FAIT</t>
        </is>
      </c>
      <c r="I118" s="5" t="inlineStr">
        <is>
          <t>H-010</t>
        </is>
      </c>
    </row>
    <row r="119">
      <c r="A119" s="4" t="n">
        <v>91</v>
      </c>
      <c r="B119" s="5" t="inlineStr">
        <is>
          <t>P10 · Modélisation et diagrammes</t>
        </is>
      </c>
      <c r="C119" s="4" t="inlineStr">
        <is>
          <t>P10-T09</t>
        </is>
      </c>
      <c r="D119" s="5" t="inlineStr">
        <is>
          <t>Versions, comparaison, validation et exports</t>
        </is>
      </c>
      <c r="E119" s="4" t="inlineStr">
        <is>
          <t>sonnet</t>
        </is>
      </c>
      <c r="F119" s="4" t="n">
        <v>9</v>
      </c>
      <c r="G119" s="4" t="inlineStr">
        <is>
          <t>P10-T07, P10-T08</t>
        </is>
      </c>
      <c r="H119" s="4" t="inlineStr">
        <is>
          <t>NON_FAIT</t>
        </is>
      </c>
      <c r="I119" s="5" t="inlineStr"/>
    </row>
    <row r="120">
      <c r="A120" s="4" t="n">
        <v>92</v>
      </c>
      <c r="B120" s="5" t="inlineStr">
        <is>
          <t>P11 · Générateur de code</t>
        </is>
      </c>
      <c r="C120" s="4" t="inlineStr">
        <is>
          <t>P11-T01</t>
        </is>
      </c>
      <c r="D120" s="5" t="inlineStr">
        <is>
          <t>Moteur de génération Scriban</t>
        </is>
      </c>
      <c r="E120" s="4" t="inlineStr">
        <is>
          <t>opus</t>
        </is>
      </c>
      <c r="F120" s="4" t="n">
        <v>1</v>
      </c>
      <c r="G120" s="4" t="inlineStr">
        <is>
          <t>—</t>
        </is>
      </c>
      <c r="H120" s="4" t="inlineStr">
        <is>
          <t>NON_FAIT</t>
        </is>
      </c>
      <c r="I120" s="5" t="inlineStr"/>
    </row>
    <row r="121">
      <c r="A121" s="4" t="n">
        <v>93</v>
      </c>
      <c r="B121" s="5" t="inlineStr">
        <is>
          <t>P11 · Générateur de code</t>
        </is>
      </c>
      <c r="C121" s="4" t="inlineStr">
        <is>
          <t>P11-T02</t>
        </is>
      </c>
      <c r="D121" s="5" t="inlineStr">
        <is>
          <t>Templates backend</t>
        </is>
      </c>
      <c r="E121" s="4" t="inlineStr">
        <is>
          <t>opus</t>
        </is>
      </c>
      <c r="F121" s="4" t="n">
        <v>2</v>
      </c>
      <c r="G121" s="4" t="inlineStr">
        <is>
          <t>P11-T01</t>
        </is>
      </c>
      <c r="H121" s="4" t="inlineStr">
        <is>
          <t>NON_FAIT</t>
        </is>
      </c>
      <c r="I121" s="5" t="inlineStr"/>
    </row>
    <row r="122">
      <c r="A122" s="4" t="n">
        <v>94</v>
      </c>
      <c r="B122" s="5" t="inlineStr">
        <is>
          <t>P11 · Générateur de code</t>
        </is>
      </c>
      <c r="C122" s="4" t="inlineStr">
        <is>
          <t>P11-T03</t>
        </is>
      </c>
      <c r="D122" s="5" t="inlineStr">
        <is>
          <t>Templates socle : solution, base, Docker, CI</t>
        </is>
      </c>
      <c r="E122" s="4" t="inlineStr">
        <is>
          <t>opus</t>
        </is>
      </c>
      <c r="F122" s="4" t="n">
        <v>3</v>
      </c>
      <c r="G122" s="4" t="inlineStr">
        <is>
          <t>P11-T02</t>
        </is>
      </c>
      <c r="H122" s="4" t="inlineStr">
        <is>
          <t>NON_FAIT</t>
        </is>
      </c>
      <c r="I122" s="5" t="inlineStr"/>
    </row>
    <row r="123">
      <c r="A123" s="4" t="n">
        <v>95</v>
      </c>
      <c r="B123" s="5" t="inlineStr">
        <is>
          <t>P11 · Générateur de code</t>
        </is>
      </c>
      <c r="C123" s="4" t="inlineStr">
        <is>
          <t>P11-T04</t>
        </is>
      </c>
      <c r="D123" s="5" t="inlineStr">
        <is>
          <t>Templates frontend</t>
        </is>
      </c>
      <c r="E123" s="4" t="inlineStr">
        <is>
          <t>sonnet</t>
        </is>
      </c>
      <c r="F123" s="4" t="n">
        <v>4</v>
      </c>
      <c r="G123" s="4" t="inlineStr">
        <is>
          <t>P11-T03</t>
        </is>
      </c>
      <c r="H123" s="4" t="inlineStr">
        <is>
          <t>NON_FAIT</t>
        </is>
      </c>
      <c r="I123" s="5" t="inlineStr"/>
    </row>
    <row r="124">
      <c r="A124" s="4" t="n">
        <v>96</v>
      </c>
      <c r="B124" s="5" t="inlineStr">
        <is>
          <t>P11 · Générateur de code</t>
        </is>
      </c>
      <c r="C124" s="4" t="inlineStr">
        <is>
          <t>P11-T05</t>
        </is>
      </c>
      <c r="D124" s="5" t="inlineStr">
        <is>
          <t>Régénération incrémentale et prévisualisation</t>
        </is>
      </c>
      <c r="E124" s="4" t="inlineStr">
        <is>
          <t>opus</t>
        </is>
      </c>
      <c r="F124" s="4" t="n">
        <v>5</v>
      </c>
      <c r="G124" s="4" t="inlineStr">
        <is>
          <t>P11-T04</t>
        </is>
      </c>
      <c r="H124" s="4" t="inlineStr">
        <is>
          <t>NON_FAIT</t>
        </is>
      </c>
      <c r="I124" s="5" t="inlineStr"/>
    </row>
    <row r="125">
      <c r="A125" s="4" t="n">
        <v>97</v>
      </c>
      <c r="B125" s="5" t="inlineStr">
        <is>
          <t>P11 · Générateur de code</t>
        </is>
      </c>
      <c r="C125" s="4" t="inlineStr">
        <is>
          <t>P11-T06</t>
        </is>
      </c>
      <c r="D125" s="5" t="inlineStr">
        <is>
          <t>Interface de génération et sortie ZIP</t>
        </is>
      </c>
      <c r="E125" s="4" t="inlineStr">
        <is>
          <t>sonnet</t>
        </is>
      </c>
      <c r="F125" s="4" t="n">
        <v>6</v>
      </c>
      <c r="G125" s="4" t="inlineStr">
        <is>
          <t>P11-T05</t>
        </is>
      </c>
      <c r="H125" s="4" t="inlineStr">
        <is>
          <t>NON_FAIT</t>
        </is>
      </c>
      <c r="I125" s="5" t="inlineStr"/>
    </row>
    <row r="126">
      <c r="A126" s="4" t="n">
        <v>98</v>
      </c>
      <c r="B126" s="5" t="inlineStr">
        <is>
          <t>P11 · Générateur de code</t>
        </is>
      </c>
      <c r="C126" s="4" t="inlineStr">
        <is>
          <t>P11-T07</t>
        </is>
      </c>
      <c r="D126" s="5" t="inlineStr">
        <is>
          <t>Dogfooding : générer le squelette de GestionProjet</t>
        </is>
      </c>
      <c r="E126" s="4" t="inlineStr">
        <is>
          <t>opus</t>
        </is>
      </c>
      <c r="F126" s="4" t="n">
        <v>7</v>
      </c>
      <c r="G126" s="4" t="inlineStr">
        <is>
          <t>P11-T06</t>
        </is>
      </c>
      <c r="H126" s="4" t="inlineStr">
        <is>
          <t>NON_FAIT</t>
        </is>
      </c>
      <c r="I126" s="5" t="inlineStr"/>
    </row>
    <row r="127">
      <c r="A127" s="4" t="n">
        <v>99</v>
      </c>
      <c r="B127" s="5" t="inlineStr">
        <is>
          <t>P12 · Intégration GitLab</t>
        </is>
      </c>
      <c r="C127" s="4" t="inlineStr">
        <is>
          <t>P12-T01</t>
        </is>
      </c>
      <c r="D127" s="5" t="inlineStr">
        <is>
          <t>Client GitLab</t>
        </is>
      </c>
      <c r="E127" s="4" t="inlineStr">
        <is>
          <t>sonnet</t>
        </is>
      </c>
      <c r="F127" s="4" t="n">
        <v>1</v>
      </c>
      <c r="G127" s="4" t="inlineStr">
        <is>
          <t>—</t>
        </is>
      </c>
      <c r="H127" s="4" t="inlineStr">
        <is>
          <t>NON_FAIT</t>
        </is>
      </c>
      <c r="I127" s="5" t="inlineStr">
        <is>
          <t>H-011</t>
        </is>
      </c>
    </row>
    <row r="128">
      <c r="A128" s="4" t="n">
        <v>100</v>
      </c>
      <c r="B128" s="5" t="inlineStr">
        <is>
          <t>P12 · Intégration GitLab</t>
        </is>
      </c>
      <c r="C128" s="4" t="inlineStr">
        <is>
          <t>P12-T02</t>
        </is>
      </c>
      <c r="D128" s="5" t="inlineStr">
        <is>
          <t>Création et liaison des dépôts</t>
        </is>
      </c>
      <c r="E128" s="4" t="inlineStr">
        <is>
          <t>sonnet</t>
        </is>
      </c>
      <c r="F128" s="4" t="n">
        <v>2</v>
      </c>
      <c r="G128" s="4" t="inlineStr">
        <is>
          <t>P12-T01</t>
        </is>
      </c>
      <c r="H128" s="4" t="inlineStr">
        <is>
          <t>NON_FAIT</t>
        </is>
      </c>
      <c r="I128" s="5" t="inlineStr"/>
    </row>
    <row r="129">
      <c r="A129" s="4" t="n">
        <v>101</v>
      </c>
      <c r="B129" s="5" t="inlineStr">
        <is>
          <t>P12 · Intégration GitLab</t>
        </is>
      </c>
      <c r="C129" s="4" t="inlineStr">
        <is>
          <t>P12-T03</t>
        </is>
      </c>
      <c r="D129" s="5" t="inlineStr">
        <is>
          <t>Envoi du code généré vers GitLab</t>
        </is>
      </c>
      <c r="E129" s="4" t="inlineStr">
        <is>
          <t>sonnet</t>
        </is>
      </c>
      <c r="F129" s="4" t="n">
        <v>3</v>
      </c>
      <c r="G129" s="4" t="inlineStr">
        <is>
          <t>P12-T02</t>
        </is>
      </c>
      <c r="H129" s="4" t="inlineStr">
        <is>
          <t>NON_FAIT</t>
        </is>
      </c>
      <c r="I129" s="5" t="inlineStr"/>
    </row>
    <row r="130">
      <c r="A130" s="4" t="n">
        <v>102</v>
      </c>
      <c r="B130" s="5" t="inlineStr">
        <is>
          <t>P12 · Intégration GitLab</t>
        </is>
      </c>
      <c r="C130" s="4" t="inlineStr">
        <is>
          <t>P12-T04</t>
        </is>
      </c>
      <c r="D130" s="5" t="inlineStr">
        <is>
          <t>Webhooks entrants</t>
        </is>
      </c>
      <c r="E130" s="4" t="inlineStr">
        <is>
          <t>sonnet</t>
        </is>
      </c>
      <c r="F130" s="4" t="n">
        <v>4</v>
      </c>
      <c r="G130" s="4" t="inlineStr">
        <is>
          <t>P12-T01</t>
        </is>
      </c>
      <c r="H130" s="4" t="inlineStr">
        <is>
          <t>NON_FAIT</t>
        </is>
      </c>
      <c r="I130" s="5" t="inlineStr"/>
    </row>
    <row r="131">
      <c r="A131" s="4" t="n">
        <v>103</v>
      </c>
      <c r="B131" s="5" t="inlineStr">
        <is>
          <t>P12 · Intégration GitLab</t>
        </is>
      </c>
      <c r="C131" s="4" t="inlineStr">
        <is>
          <t>P12-T05</t>
        </is>
      </c>
      <c r="D131" s="5" t="inlineStr">
        <is>
          <t>Vues GitLab dans les tickets</t>
        </is>
      </c>
      <c r="E131" s="4" t="inlineStr">
        <is>
          <t>sonnet</t>
        </is>
      </c>
      <c r="F131" s="4" t="n">
        <v>5</v>
      </c>
      <c r="G131" s="4" t="inlineStr">
        <is>
          <t>P12-T04</t>
        </is>
      </c>
      <c r="H131" s="4" t="inlineStr">
        <is>
          <t>NON_FAIT</t>
        </is>
      </c>
      <c r="I131" s="5" t="inlineStr"/>
    </row>
    <row r="132">
      <c r="A132" s="4" t="n">
        <v>104</v>
      </c>
      <c r="B132" s="5" t="inlineStr">
        <is>
          <t>P12 · Intégration GitLab</t>
        </is>
      </c>
      <c r="C132" s="4" t="inlineStr">
        <is>
          <t>P12-T06</t>
        </is>
      </c>
      <c r="D132" s="5" t="inlineStr">
        <is>
          <t>Releases et notes de version</t>
        </is>
      </c>
      <c r="E132" s="4" t="inlineStr">
        <is>
          <t>sonnet</t>
        </is>
      </c>
      <c r="F132" s="4" t="n">
        <v>6</v>
      </c>
      <c r="G132" s="4" t="inlineStr">
        <is>
          <t>P12-T04</t>
        </is>
      </c>
      <c r="H132" s="4" t="inlineStr">
        <is>
          <t>NON_FAIT</t>
        </is>
      </c>
      <c r="I132" s="5" t="inlineStr"/>
    </row>
    <row r="133">
      <c r="A133" s="4" t="n">
        <v>105</v>
      </c>
      <c r="B133" s="5" t="inlineStr">
        <is>
          <t>P13 · Déploiement Docker</t>
        </is>
      </c>
      <c r="C133" s="4" t="inlineStr">
        <is>
          <t>P13-T01</t>
        </is>
      </c>
      <c r="D133" s="5" t="inlineStr">
        <is>
          <t>Environnements : modèle et API</t>
        </is>
      </c>
      <c r="E133" s="4" t="inlineStr">
        <is>
          <t>sonnet</t>
        </is>
      </c>
      <c r="F133" s="4" t="n">
        <v>1</v>
      </c>
      <c r="G133" s="4" t="inlineStr">
        <is>
          <t>—</t>
        </is>
      </c>
      <c r="H133" s="4" t="inlineStr">
        <is>
          <t>NON_FAIT</t>
        </is>
      </c>
      <c r="I133" s="5" t="inlineStr"/>
    </row>
    <row r="134">
      <c r="A134" s="4" t="n">
        <v>106</v>
      </c>
      <c r="B134" s="5" t="inlineStr">
        <is>
          <t>P13 · Déploiement Docker</t>
        </is>
      </c>
      <c r="C134" s="4" t="inlineStr">
        <is>
          <t>P13-T02</t>
        </is>
      </c>
      <c r="D134" s="5" t="inlineStr">
        <is>
          <t>Déclenchement des déploiements</t>
        </is>
      </c>
      <c r="E134" s="4" t="inlineStr">
        <is>
          <t>sonnet</t>
        </is>
      </c>
      <c r="F134" s="4" t="n">
        <v>2</v>
      </c>
      <c r="G134" s="4" t="inlineStr">
        <is>
          <t>P13-T01</t>
        </is>
      </c>
      <c r="H134" s="4" t="inlineStr">
        <is>
          <t>NON_FAIT</t>
        </is>
      </c>
      <c r="I134" s="5" t="inlineStr"/>
    </row>
    <row r="135">
      <c r="A135" s="4" t="n">
        <v>107</v>
      </c>
      <c r="B135" s="5" t="inlineStr">
        <is>
          <t>P13 · Déploiement Docker</t>
        </is>
      </c>
      <c r="C135" s="4" t="inlineStr">
        <is>
          <t>P13-T03</t>
        </is>
      </c>
      <c r="D135" s="5" t="inlineStr">
        <is>
          <t>État des environnements</t>
        </is>
      </c>
      <c r="E135" s="4" t="inlineStr">
        <is>
          <t>sonnet</t>
        </is>
      </c>
      <c r="F135" s="4" t="n">
        <v>3</v>
      </c>
      <c r="G135" s="4" t="inlineStr">
        <is>
          <t>P13-T01</t>
        </is>
      </c>
      <c r="H135" s="4" t="inlineStr">
        <is>
          <t>NON_FAIT</t>
        </is>
      </c>
      <c r="I135" s="5" t="inlineStr"/>
    </row>
    <row r="136">
      <c r="A136" s="4" t="n">
        <v>108</v>
      </c>
      <c r="B136" s="5" t="inlineStr">
        <is>
          <t>P13 · Déploiement Docker</t>
        </is>
      </c>
      <c r="C136" s="4" t="inlineStr">
        <is>
          <t>P13-T04</t>
        </is>
      </c>
      <c r="D136" s="5" t="inlineStr">
        <is>
          <t>Validation avant production et rollback</t>
        </is>
      </c>
      <c r="E136" s="4" t="inlineStr">
        <is>
          <t>sonnet</t>
        </is>
      </c>
      <c r="F136" s="4" t="n">
        <v>4</v>
      </c>
      <c r="G136" s="4" t="inlineStr">
        <is>
          <t>P13-T02</t>
        </is>
      </c>
      <c r="H136" s="4" t="inlineStr">
        <is>
          <t>NON_FAIT</t>
        </is>
      </c>
      <c r="I136" s="5" t="inlineStr"/>
    </row>
    <row r="137">
      <c r="A137" s="4" t="n">
        <v>109</v>
      </c>
      <c r="B137" s="5" t="inlineStr">
        <is>
          <t>P13 · Déploiement Docker</t>
        </is>
      </c>
      <c r="C137" s="4" t="inlineStr">
        <is>
          <t>P13-T05</t>
        </is>
      </c>
      <c r="D137" s="5" t="inlineStr">
        <is>
          <t>Indicateurs DORA et pages</t>
        </is>
      </c>
      <c r="E137" s="4" t="inlineStr">
        <is>
          <t>sonnet</t>
        </is>
      </c>
      <c r="F137" s="4" t="n">
        <v>5</v>
      </c>
      <c r="G137" s="4" t="inlineStr">
        <is>
          <t>P13-T04</t>
        </is>
      </c>
      <c r="H137" s="4" t="inlineStr">
        <is>
          <t>NON_FAIT</t>
        </is>
      </c>
      <c r="I137" s="5" t="inlineStr"/>
    </row>
    <row r="138">
      <c r="A138" s="4" t="n">
        <v>110</v>
      </c>
      <c r="B138" s="5" t="inlineStr">
        <is>
          <t>P14 · Cadrage, exigences et conception des écrans</t>
        </is>
      </c>
      <c r="C138" s="4" t="inlineStr">
        <is>
          <t>P14-T01</t>
        </is>
      </c>
      <c r="D138" s="5" t="inlineStr">
        <is>
          <t>Modèle de données cadrage / exigences / écrans</t>
        </is>
      </c>
      <c r="E138" s="4" t="inlineStr">
        <is>
          <t>opus</t>
        </is>
      </c>
      <c r="F138" s="4" t="n">
        <v>1</v>
      </c>
      <c r="G138" s="4" t="inlineStr">
        <is>
          <t>—</t>
        </is>
      </c>
      <c r="H138" s="4" t="inlineStr">
        <is>
          <t>NON_FAIT</t>
        </is>
      </c>
      <c r="I138" s="5" t="inlineStr"/>
    </row>
    <row r="139">
      <c r="A139" s="4" t="n">
        <v>111</v>
      </c>
      <c r="B139" s="5" t="inlineStr">
        <is>
          <t>P14 · Cadrage, exigences et conception des écrans</t>
        </is>
      </c>
      <c r="C139" s="4" t="inlineStr">
        <is>
          <t>P14-T02</t>
        </is>
      </c>
      <c r="D139" s="5" t="inlineStr">
        <is>
          <t>Brainstorming et tableau blanc</t>
        </is>
      </c>
      <c r="E139" s="4" t="inlineStr">
        <is>
          <t>sonnet</t>
        </is>
      </c>
      <c r="F139" s="4" t="n">
        <v>2</v>
      </c>
      <c r="G139" s="4" t="inlineStr">
        <is>
          <t>P14-T01</t>
        </is>
      </c>
      <c r="H139" s="4" t="inlineStr">
        <is>
          <t>NON_FAIT</t>
        </is>
      </c>
      <c r="I139" s="5" t="inlineStr"/>
    </row>
    <row r="140">
      <c r="A140" s="4" t="n">
        <v>112</v>
      </c>
      <c r="B140" s="5" t="inlineStr">
        <is>
          <t>P14 · Cadrage, exigences et conception des écrans</t>
        </is>
      </c>
      <c r="C140" s="4" t="inlineStr">
        <is>
          <t>P14-T03</t>
        </is>
      </c>
      <c r="D140" s="5" t="inlineStr">
        <is>
          <t>Modèles d'ateliers et priorisation</t>
        </is>
      </c>
      <c r="E140" s="4" t="inlineStr">
        <is>
          <t>sonnet</t>
        </is>
      </c>
      <c r="F140" s="4" t="n">
        <v>3</v>
      </c>
      <c r="G140" s="4" t="inlineStr">
        <is>
          <t>P14-T02</t>
        </is>
      </c>
      <c r="H140" s="4" t="inlineStr">
        <is>
          <t>NON_FAIT</t>
        </is>
      </c>
      <c r="I140" s="5" t="inlineStr"/>
    </row>
    <row r="141">
      <c r="A141" s="4" t="n">
        <v>113</v>
      </c>
      <c r="B141" s="5" t="inlineStr">
        <is>
          <t>P14 · Cadrage, exigences et conception des écrans</t>
        </is>
      </c>
      <c r="C141" s="4" t="inlineStr">
        <is>
          <t>P14-T04</t>
        </is>
      </c>
      <c r="D141" s="5" t="inlineStr">
        <is>
          <t>Exigences, user stories et changements</t>
        </is>
      </c>
      <c r="E141" s="4" t="inlineStr">
        <is>
          <t>sonnet</t>
        </is>
      </c>
      <c r="F141" s="4" t="n">
        <v>4</v>
      </c>
      <c r="G141" s="4" t="inlineStr">
        <is>
          <t>P14-T01</t>
        </is>
      </c>
      <c r="H141" s="4" t="inlineStr">
        <is>
          <t>NON_FAIT</t>
        </is>
      </c>
      <c r="I141" s="5" t="inlineStr"/>
    </row>
    <row r="142">
      <c r="A142" s="4" t="n">
        <v>114</v>
      </c>
      <c r="B142" s="5" t="inlineStr">
        <is>
          <t>P14 · Cadrage, exigences et conception des écrans</t>
        </is>
      </c>
      <c r="C142" s="4" t="inlineStr">
        <is>
          <t>P14-T05</t>
        </is>
      </c>
      <c r="D142" s="5" t="inlineStr">
        <is>
          <t>Conception des écrans</t>
        </is>
      </c>
      <c r="E142" s="4" t="inlineStr">
        <is>
          <t>sonnet</t>
        </is>
      </c>
      <c r="F142" s="4" t="n">
        <v>5</v>
      </c>
      <c r="G142" s="4" t="inlineStr">
        <is>
          <t>P14-T04</t>
        </is>
      </c>
      <c r="H142" s="4" t="inlineStr">
        <is>
          <t>NON_FAIT</t>
        </is>
      </c>
      <c r="I142" s="5" t="inlineStr"/>
    </row>
    <row r="143">
      <c r="A143" s="4" t="n">
        <v>115</v>
      </c>
      <c r="B143" s="5" t="inlineStr">
        <is>
          <t>P14 · Cadrage, exigences et conception des écrans</t>
        </is>
      </c>
      <c r="C143" s="4" t="inlineStr">
        <is>
          <t>P14-T06</t>
        </is>
      </c>
      <c r="D143" s="5" t="inlineStr">
        <is>
          <t>Matrice de traçabilité</t>
        </is>
      </c>
      <c r="E143" s="4" t="inlineStr">
        <is>
          <t>opus</t>
        </is>
      </c>
      <c r="F143" s="4" t="n">
        <v>6</v>
      </c>
      <c r="G143" s="4" t="inlineStr">
        <is>
          <t>P14-T05</t>
        </is>
      </c>
      <c r="H143" s="4" t="inlineStr">
        <is>
          <t>NON_FAIT</t>
        </is>
      </c>
      <c r="I143" s="5" t="inlineStr"/>
    </row>
    <row r="144">
      <c r="A144" s="4" t="n">
        <v>116</v>
      </c>
      <c r="B144" s="5" t="inlineStr">
        <is>
          <t>P15 · Qualité, recette et DevSecOps</t>
        </is>
      </c>
      <c r="C144" s="4" t="inlineStr">
        <is>
          <t>P15-T01</t>
        </is>
      </c>
      <c r="D144" s="5" t="inlineStr">
        <is>
          <t>Modèle de données qualité et sécurité</t>
        </is>
      </c>
      <c r="E144" s="4" t="inlineStr">
        <is>
          <t>opus</t>
        </is>
      </c>
      <c r="F144" s="4" t="n">
        <v>1</v>
      </c>
      <c r="G144" s="4" t="inlineStr">
        <is>
          <t>—</t>
        </is>
      </c>
      <c r="H144" s="4" t="inlineStr">
        <is>
          <t>NON_FAIT</t>
        </is>
      </c>
      <c r="I144" s="5" t="inlineStr"/>
    </row>
    <row r="145">
      <c r="A145" s="4" t="n">
        <v>117</v>
      </c>
      <c r="B145" s="5" t="inlineStr">
        <is>
          <t>P15 · Qualité, recette et DevSecOps</t>
        </is>
      </c>
      <c r="C145" s="4" t="inlineStr">
        <is>
          <t>P15-T02</t>
        </is>
      </c>
      <c r="D145" s="5" t="inlineStr">
        <is>
          <t>Plans, cas, campagnes et exécutions</t>
        </is>
      </c>
      <c r="E145" s="4" t="inlineStr">
        <is>
          <t>sonnet</t>
        </is>
      </c>
      <c r="F145" s="4" t="n">
        <v>2</v>
      </c>
      <c r="G145" s="4" t="inlineStr">
        <is>
          <t>P15-T01</t>
        </is>
      </c>
      <c r="H145" s="4" t="inlineStr">
        <is>
          <t>NON_FAIT</t>
        </is>
      </c>
      <c r="I145" s="5" t="inlineStr"/>
    </row>
    <row r="146">
      <c r="A146" s="4" t="n">
        <v>118</v>
      </c>
      <c r="B146" s="5" t="inlineStr">
        <is>
          <t>P15 · Qualité, recette et DevSecOps</t>
        </is>
      </c>
      <c r="C146" s="4" t="inlineStr">
        <is>
          <t>P15-T03</t>
        </is>
      </c>
      <c r="D146" s="5" t="inlineStr">
        <is>
          <t>Résultats automatisés et qualité de code</t>
        </is>
      </c>
      <c r="E146" s="4" t="inlineStr">
        <is>
          <t>sonnet</t>
        </is>
      </c>
      <c r="F146" s="4" t="n">
        <v>3</v>
      </c>
      <c r="G146" s="4" t="inlineStr">
        <is>
          <t>P15-T02</t>
        </is>
      </c>
      <c r="H146" s="4" t="inlineStr">
        <is>
          <t>NON_FAIT</t>
        </is>
      </c>
      <c r="I146" s="5" t="inlineStr">
        <is>
          <t>H-012</t>
        </is>
      </c>
    </row>
    <row r="147">
      <c r="A147" s="4" t="n">
        <v>119</v>
      </c>
      <c r="B147" s="5" t="inlineStr">
        <is>
          <t>P15 · Qualité, recette et DevSecOps</t>
        </is>
      </c>
      <c r="C147" s="4" t="inlineStr">
        <is>
          <t>P15-T04</t>
        </is>
      </c>
      <c r="D147" s="5" t="inlineStr">
        <is>
          <t>Gestion des vulnérabilités</t>
        </is>
      </c>
      <c r="E147" s="4" t="inlineStr">
        <is>
          <t>sonnet</t>
        </is>
      </c>
      <c r="F147" s="4" t="n">
        <v>4</v>
      </c>
      <c r="G147" s="4" t="inlineStr">
        <is>
          <t>P15-T01</t>
        </is>
      </c>
      <c r="H147" s="4" t="inlineStr">
        <is>
          <t>NON_FAIT</t>
        </is>
      </c>
      <c r="I147" s="5" t="inlineStr"/>
    </row>
    <row r="148">
      <c r="A148" s="4" t="n">
        <v>120</v>
      </c>
      <c r="B148" s="5" t="inlineStr">
        <is>
          <t>P15 · Qualité, recette et DevSecOps</t>
        </is>
      </c>
      <c r="C148" s="4" t="inlineStr">
        <is>
          <t>P15-T05</t>
        </is>
      </c>
      <c r="D148" s="5" t="inlineStr">
        <is>
          <t>Checklists de sécurité et menaces</t>
        </is>
      </c>
      <c r="E148" s="4" t="inlineStr">
        <is>
          <t>sonnet</t>
        </is>
      </c>
      <c r="F148" s="4" t="n">
        <v>5</v>
      </c>
      <c r="G148" s="4" t="inlineStr">
        <is>
          <t>P15-T01</t>
        </is>
      </c>
      <c r="H148" s="4" t="inlineStr">
        <is>
          <t>NON_FAIT</t>
        </is>
      </c>
      <c r="I148" s="5" t="inlineStr"/>
    </row>
    <row r="149">
      <c r="A149" s="4" t="n">
        <v>121</v>
      </c>
      <c r="B149" s="5" t="inlineStr">
        <is>
          <t>P15 · Qualité, recette et DevSecOps</t>
        </is>
      </c>
      <c r="C149" s="4" t="inlineStr">
        <is>
          <t>P15-T06</t>
        </is>
      </c>
      <c r="D149" s="5" t="inlineStr">
        <is>
          <t>PV de recette</t>
        </is>
      </c>
      <c r="E149" s="4" t="inlineStr">
        <is>
          <t>sonnet</t>
        </is>
      </c>
      <c r="F149" s="4" t="n">
        <v>6</v>
      </c>
      <c r="G149" s="4" t="inlineStr">
        <is>
          <t>P15-T02</t>
        </is>
      </c>
      <c r="H149" s="4" t="inlineStr">
        <is>
          <t>NON_FAIT</t>
        </is>
      </c>
      <c r="I149" s="5" t="inlineStr"/>
    </row>
    <row r="150">
      <c r="A150" s="4" t="n">
        <v>122</v>
      </c>
      <c r="B150" s="5" t="inlineStr">
        <is>
          <t>P16 · Documentation, méthodes agiles, automatisation et API</t>
        </is>
      </c>
      <c r="C150" s="4" t="inlineStr">
        <is>
          <t>P16-T01</t>
        </is>
      </c>
      <c r="D150" s="5" t="inlineStr">
        <is>
          <t>Wiki de projet</t>
        </is>
      </c>
      <c r="E150" s="4" t="inlineStr">
        <is>
          <t>sonnet</t>
        </is>
      </c>
      <c r="F150" s="4" t="n">
        <v>1</v>
      </c>
      <c r="G150" s="4" t="inlineStr">
        <is>
          <t>—</t>
        </is>
      </c>
      <c r="H150" s="4" t="inlineStr">
        <is>
          <t>NON_FAIT</t>
        </is>
      </c>
      <c r="I150" s="5" t="inlineStr"/>
    </row>
    <row r="151">
      <c r="A151" s="4" t="n">
        <v>123</v>
      </c>
      <c r="B151" s="5" t="inlineStr">
        <is>
          <t>P16 · Documentation, méthodes agiles, automatisation et API</t>
        </is>
      </c>
      <c r="C151" s="4" t="inlineStr">
        <is>
          <t>P16-T02</t>
        </is>
      </c>
      <c r="D151" s="5" t="inlineStr">
        <is>
          <t>Génération des livrables documentaires</t>
        </is>
      </c>
      <c r="E151" s="4" t="inlineStr">
        <is>
          <t>opus</t>
        </is>
      </c>
      <c r="F151" s="4" t="n">
        <v>2</v>
      </c>
      <c r="G151" s="4" t="inlineStr">
        <is>
          <t>P16-T01</t>
        </is>
      </c>
      <c r="H151" s="4" t="inlineStr">
        <is>
          <t>NON_FAIT</t>
        </is>
      </c>
      <c r="I151" s="5" t="inlineStr"/>
    </row>
    <row r="152">
      <c r="A152" s="4" t="n">
        <v>124</v>
      </c>
      <c r="B152" s="5" t="inlineStr">
        <is>
          <t>P16 · Documentation, méthodes agiles, automatisation et API</t>
        </is>
      </c>
      <c r="C152" s="4" t="inlineStr">
        <is>
          <t>P16-T03</t>
        </is>
      </c>
      <c r="D152" s="5" t="inlineStr">
        <is>
          <t>Mode Scrum</t>
        </is>
      </c>
      <c r="E152" s="4" t="inlineStr">
        <is>
          <t>sonnet</t>
        </is>
      </c>
      <c r="F152" s="4" t="n">
        <v>3</v>
      </c>
      <c r="G152" s="4" t="inlineStr">
        <is>
          <t>—</t>
        </is>
      </c>
      <c r="H152" s="4" t="inlineStr">
        <is>
          <t>NON_FAIT</t>
        </is>
      </c>
      <c r="I152" s="5" t="inlineStr"/>
    </row>
    <row r="153">
      <c r="A153" s="4" t="n">
        <v>125</v>
      </c>
      <c r="B153" s="5" t="inlineStr">
        <is>
          <t>P16 · Documentation, méthodes agiles, automatisation et API</t>
        </is>
      </c>
      <c r="C153" s="4" t="inlineStr">
        <is>
          <t>P16-T04</t>
        </is>
      </c>
      <c r="D153" s="5" t="inlineStr">
        <is>
          <t>Moteur d'automatisation</t>
        </is>
      </c>
      <c r="E153" s="4" t="inlineStr">
        <is>
          <t>opus</t>
        </is>
      </c>
      <c r="F153" s="4" t="n">
        <v>4</v>
      </c>
      <c r="G153" s="4" t="inlineStr">
        <is>
          <t>—</t>
        </is>
      </c>
      <c r="H153" s="4" t="inlineStr">
        <is>
          <t>NON_FAIT</t>
        </is>
      </c>
      <c r="I153" s="5" t="inlineStr"/>
    </row>
    <row r="154">
      <c r="A154" s="4" t="n">
        <v>126</v>
      </c>
      <c r="B154" s="5" t="inlineStr">
        <is>
          <t>P16 · Documentation, méthodes agiles, automatisation et API</t>
        </is>
      </c>
      <c r="C154" s="4" t="inlineStr">
        <is>
          <t>P16-T05</t>
        </is>
      </c>
      <c r="D154" s="5" t="inlineStr">
        <is>
          <t>API publique et webhooks sortants</t>
        </is>
      </c>
      <c r="E154" s="4" t="inlineStr">
        <is>
          <t>sonnet</t>
        </is>
      </c>
      <c r="F154" s="4" t="n">
        <v>5</v>
      </c>
      <c r="G154" s="4" t="inlineStr">
        <is>
          <t>—</t>
        </is>
      </c>
      <c r="H154" s="4" t="inlineStr">
        <is>
          <t>NON_FAIT</t>
        </is>
      </c>
      <c r="I154" s="5" t="inlineStr"/>
    </row>
    <row r="155">
      <c r="A155" s="4" t="n">
        <v>127</v>
      </c>
      <c r="B155" s="5" t="inlineStr">
        <is>
          <t>P16 · Documentation, méthodes agiles, automatisation et API</t>
        </is>
      </c>
      <c r="C155" s="4" t="inlineStr">
        <is>
          <t>P16-T06</t>
        </is>
      </c>
      <c r="D155" s="5" t="inlineStr">
        <is>
          <t>Imports Jira, Redmine, Trello, CSV, Excel</t>
        </is>
      </c>
      <c r="E155" s="4" t="inlineStr">
        <is>
          <t>sonnet</t>
        </is>
      </c>
      <c r="F155" s="4" t="n">
        <v>6</v>
      </c>
      <c r="G155" s="4" t="inlineStr">
        <is>
          <t>P16-T05</t>
        </is>
      </c>
      <c r="H155" s="4" t="inlineStr">
        <is>
          <t>NON_FAIT</t>
        </is>
      </c>
      <c r="I155" s="5" t="inlineStr"/>
    </row>
    <row r="156">
      <c r="A156" s="4" t="n">
        <v>128</v>
      </c>
      <c r="B156" s="5" t="inlineStr">
        <is>
          <t>P17 · Expérience utilisateur transverse et accessibilité</t>
        </is>
      </c>
      <c r="C156" s="4" t="inlineStr">
        <is>
          <t>P17-T01</t>
        </is>
      </c>
      <c r="D156" s="5" t="inlineStr">
        <is>
          <t>Recherche globale et palette de commandes</t>
        </is>
      </c>
      <c r="E156" s="4" t="inlineStr">
        <is>
          <t>sonnet</t>
        </is>
      </c>
      <c r="F156" s="4" t="n">
        <v>1</v>
      </c>
      <c r="G156" s="4" t="inlineStr">
        <is>
          <t>—</t>
        </is>
      </c>
      <c r="H156" s="4" t="inlineStr">
        <is>
          <t>NON_FAIT</t>
        </is>
      </c>
      <c r="I156" s="5" t="inlineStr"/>
    </row>
    <row r="157">
      <c r="A157" s="4" t="n">
        <v>129</v>
      </c>
      <c r="B157" s="5" t="inlineStr">
        <is>
          <t>P17 · Expérience utilisateur transverse et accessibilité</t>
        </is>
      </c>
      <c r="C157" s="4" t="inlineStr">
        <is>
          <t>P17-T02</t>
        </is>
      </c>
      <c r="D157" s="5" t="inlineStr">
        <is>
          <t>Vues enregistrées et filtres avancés</t>
        </is>
      </c>
      <c r="E157" s="4" t="inlineStr">
        <is>
          <t>sonnet</t>
        </is>
      </c>
      <c r="F157" s="4" t="n">
        <v>2</v>
      </c>
      <c r="G157" s="4" t="inlineStr">
        <is>
          <t>—</t>
        </is>
      </c>
      <c r="H157" s="4" t="inlineStr">
        <is>
          <t>NON_FAIT</t>
        </is>
      </c>
      <c r="I157" s="5" t="inlineStr"/>
    </row>
    <row r="158">
      <c r="A158" s="4" t="n">
        <v>130</v>
      </c>
      <c r="B158" s="5" t="inlineStr">
        <is>
          <t>P17 · Expérience utilisateur transverse et accessibilité</t>
        </is>
      </c>
      <c r="C158" s="4" t="inlineStr">
        <is>
          <t>P17-T03</t>
        </is>
      </c>
      <c r="D158" s="5" t="inlineStr">
        <is>
          <t>Favoris, récents, « Ma journée »</t>
        </is>
      </c>
      <c r="E158" s="4" t="inlineStr">
        <is>
          <t>haiku</t>
        </is>
      </c>
      <c r="F158" s="4" t="n">
        <v>3</v>
      </c>
      <c r="G158" s="4" t="inlineStr">
        <is>
          <t>—</t>
        </is>
      </c>
      <c r="H158" s="4" t="inlineStr">
        <is>
          <t>NON_FAIT</t>
        </is>
      </c>
      <c r="I158" s="5" t="inlineStr"/>
    </row>
    <row r="159">
      <c r="A159" s="4" t="n">
        <v>131</v>
      </c>
      <c r="B159" s="5" t="inlineStr">
        <is>
          <t>P17 · Expérience utilisateur transverse et accessibilité</t>
        </is>
      </c>
      <c r="C159" s="4" t="inlineStr">
        <is>
          <t>P17-T04</t>
        </is>
      </c>
      <c r="D159" s="5" t="inlineStr">
        <is>
          <t>PWA</t>
        </is>
      </c>
      <c r="E159" s="4" t="inlineStr">
        <is>
          <t>sonnet</t>
        </is>
      </c>
      <c r="F159" s="4" t="n">
        <v>4</v>
      </c>
      <c r="G159" s="4" t="inlineStr">
        <is>
          <t>—</t>
        </is>
      </c>
      <c r="H159" s="4" t="inlineStr">
        <is>
          <t>NON_FAIT</t>
        </is>
      </c>
      <c r="I159" s="5" t="inlineStr"/>
    </row>
    <row r="160">
      <c r="A160" s="4" t="n">
        <v>132</v>
      </c>
      <c r="B160" s="5" t="inlineStr">
        <is>
          <t>P17 · Expérience utilisateur transverse et accessibilité</t>
        </is>
      </c>
      <c r="C160" s="4" t="inlineStr">
        <is>
          <t>P17-T05</t>
        </is>
      </c>
      <c r="D160" s="5" t="inlineStr">
        <is>
          <t>Audit et corrections d'accessibilité</t>
        </is>
      </c>
      <c r="E160" s="4" t="inlineStr">
        <is>
          <t>sonnet</t>
        </is>
      </c>
      <c r="F160" s="4" t="n">
        <v>5</v>
      </c>
      <c r="G160" s="4" t="inlineStr">
        <is>
          <t>—</t>
        </is>
      </c>
      <c r="H160" s="4" t="inlineStr">
        <is>
          <t>NON_FAIT</t>
        </is>
      </c>
      <c r="I160" s="5" t="inlineStr"/>
    </row>
    <row r="161">
      <c r="A161" s="4" t="n">
        <v>133</v>
      </c>
      <c r="B161" s="5" t="inlineStr">
        <is>
          <t>P17 · Expérience utilisateur transverse et accessibilité</t>
        </is>
      </c>
      <c r="C161" s="4" t="inlineStr">
        <is>
          <t>P17-T06</t>
        </is>
      </c>
      <c r="D161" s="5" t="inlineStr">
        <is>
          <t>Arabe RTL et revue i18n</t>
        </is>
      </c>
      <c r="E161" s="4" t="inlineStr">
        <is>
          <t>sonnet</t>
        </is>
      </c>
      <c r="F161" s="4" t="n">
        <v>6</v>
      </c>
      <c r="G161" s="4" t="inlineStr">
        <is>
          <t>—</t>
        </is>
      </c>
      <c r="H161" s="4" t="inlineStr">
        <is>
          <t>NON_FAIT</t>
        </is>
      </c>
      <c r="I161" s="5" t="inlineStr"/>
    </row>
    <row r="162">
      <c r="A162" s="4" t="n">
        <v>134</v>
      </c>
      <c r="B162" s="5" t="inlineStr">
        <is>
          <t>P17 · Expérience utilisateur transverse et accessibilité</t>
        </is>
      </c>
      <c r="C162" s="4" t="inlineStr">
        <is>
          <t>P17-T07</t>
        </is>
      </c>
      <c r="D162" s="5" t="inlineStr">
        <is>
          <t>Accueil guidé et aide contextuelle</t>
        </is>
      </c>
      <c r="E162" s="4" t="inlineStr">
        <is>
          <t>haiku</t>
        </is>
      </c>
      <c r="F162" s="4" t="n">
        <v>7</v>
      </c>
      <c r="G162" s="4" t="inlineStr">
        <is>
          <t>—</t>
        </is>
      </c>
      <c r="H162" s="4" t="inlineStr">
        <is>
          <t>NON_FAIT</t>
        </is>
      </c>
      <c r="I162" s="5" t="inlineStr"/>
    </row>
    <row r="163">
      <c r="A163" s="4" t="n">
        <v>135</v>
      </c>
      <c r="B163" s="5" t="inlineStr">
        <is>
          <t>P17 · Expérience utilisateur transverse et accessibilité</t>
        </is>
      </c>
      <c r="C163" s="4" t="inlineStr">
        <is>
          <t>P17-T08</t>
        </is>
      </c>
      <c r="D163" s="5" t="inlineStr">
        <is>
          <t>Tests E2E des parcours critiques</t>
        </is>
      </c>
      <c r="E163" s="4" t="inlineStr">
        <is>
          <t>sonnet</t>
        </is>
      </c>
      <c r="F163" s="4" t="n">
        <v>8</v>
      </c>
      <c r="G163" s="4" t="inlineStr">
        <is>
          <t>P17-T05</t>
        </is>
      </c>
      <c r="H163" s="4" t="inlineStr">
        <is>
          <t>NON_FAIT</t>
        </is>
      </c>
      <c r="I163" s="5" t="inlineStr"/>
    </row>
    <row r="164">
      <c r="A164" s="4" t="n">
        <v>136</v>
      </c>
      <c r="B164" s="5" t="inlineStr">
        <is>
          <t>P18 · Sécurité Keycloak et durcissement</t>
        </is>
      </c>
      <c r="C164" s="4" t="inlineStr">
        <is>
          <t>P18-T01</t>
        </is>
      </c>
      <c r="D164" s="5" t="inlineStr">
        <is>
          <t>Realm Keycloak</t>
        </is>
      </c>
      <c r="E164" s="4" t="inlineStr">
        <is>
          <t>opus</t>
        </is>
      </c>
      <c r="F164" s="4" t="n">
        <v>1</v>
      </c>
      <c r="G164" s="4" t="inlineStr">
        <is>
          <t>—</t>
        </is>
      </c>
      <c r="H164" s="4" t="inlineStr">
        <is>
          <t>NON_FAIT</t>
        </is>
      </c>
      <c r="I164" s="5" t="inlineStr">
        <is>
          <t>H-013 ⛔</t>
        </is>
      </c>
    </row>
    <row r="165">
      <c r="A165" s="4" t="n">
        <v>137</v>
      </c>
      <c r="B165" s="5" t="inlineStr">
        <is>
          <t>P18 · Sécurité Keycloak et durcissement</t>
        </is>
      </c>
      <c r="C165" s="4" t="inlineStr">
        <is>
          <t>P18-T02</t>
        </is>
      </c>
      <c r="D165" s="5" t="inlineStr">
        <is>
          <t>BFF OIDC et API JWT</t>
        </is>
      </c>
      <c r="E165" s="4" t="inlineStr">
        <is>
          <t>opus</t>
        </is>
      </c>
      <c r="F165" s="4" t="n">
        <v>2</v>
      </c>
      <c r="G165" s="4" t="inlineStr">
        <is>
          <t>P18-T01</t>
        </is>
      </c>
      <c r="H165" s="4" t="inlineStr">
        <is>
          <t>NON_FAIT</t>
        </is>
      </c>
      <c r="I165" s="5" t="inlineStr"/>
    </row>
    <row r="166">
      <c r="A166" s="4" t="n">
        <v>138</v>
      </c>
      <c r="B166" s="5" t="inlineStr">
        <is>
          <t>P18 · Sécurité Keycloak et durcissement</t>
        </is>
      </c>
      <c r="C166" s="4" t="inlineStr">
        <is>
          <t>P18-T03</t>
        </is>
      </c>
      <c r="D166" s="5" t="inlineStr">
        <is>
          <t>MFA et politiques de session</t>
        </is>
      </c>
      <c r="E166" s="4" t="inlineStr">
        <is>
          <t>sonnet</t>
        </is>
      </c>
      <c r="F166" s="4" t="n">
        <v>3</v>
      </c>
      <c r="G166" s="4" t="inlineStr">
        <is>
          <t>P18-T01</t>
        </is>
      </c>
      <c r="H166" s="4" t="inlineStr">
        <is>
          <t>NON_FAIT</t>
        </is>
      </c>
      <c r="I166" s="5" t="inlineStr"/>
    </row>
    <row r="167">
      <c r="A167" s="4" t="n">
        <v>139</v>
      </c>
      <c r="B167" s="5" t="inlineStr">
        <is>
          <t>P18 · Sécurité Keycloak et durcissement</t>
        </is>
      </c>
      <c r="C167" s="4" t="inlineStr">
        <is>
          <t>P18-T04</t>
        </is>
      </c>
      <c r="D167" s="5" t="inlineStr">
        <is>
          <t>Revue de sécurité ASVS niveau 2</t>
        </is>
      </c>
      <c r="E167" s="4" t="inlineStr">
        <is>
          <t>opus</t>
        </is>
      </c>
      <c r="F167" s="4" t="n">
        <v>4</v>
      </c>
      <c r="G167" s="4" t="inlineStr">
        <is>
          <t>P18-T02</t>
        </is>
      </c>
      <c r="H167" s="4" t="inlineStr">
        <is>
          <t>NON_FAIT</t>
        </is>
      </c>
      <c r="I167" s="5" t="inlineStr"/>
    </row>
    <row r="168">
      <c r="A168" s="4" t="n">
        <v>140</v>
      </c>
      <c r="B168" s="5" t="inlineStr">
        <is>
          <t>P18 · Sécurité Keycloak et durcissement</t>
        </is>
      </c>
      <c r="C168" s="4" t="inlineStr">
        <is>
          <t>P18-T05</t>
        </is>
      </c>
      <c r="D168" s="5" t="inlineStr">
        <is>
          <t>Sauvegardes et restauration</t>
        </is>
      </c>
      <c r="E168" s="4" t="inlineStr">
        <is>
          <t>sonnet</t>
        </is>
      </c>
      <c r="F168" s="4" t="n">
        <v>5</v>
      </c>
      <c r="G168" s="4" t="inlineStr">
        <is>
          <t>—</t>
        </is>
      </c>
      <c r="H168" s="4" t="inlineStr">
        <is>
          <t>NON_FAIT</t>
        </is>
      </c>
      <c r="I168" s="5" t="inlineStr"/>
    </row>
    <row r="169">
      <c r="A169" s="4" t="n">
        <v>141</v>
      </c>
      <c r="B169" s="5" t="inlineStr">
        <is>
          <t>P18 · Sécurité Keycloak et durcissement</t>
        </is>
      </c>
      <c r="C169" s="4" t="inlineStr">
        <is>
          <t>P18-T06</t>
        </is>
      </c>
      <c r="D169" s="5" t="inlineStr">
        <is>
          <t>Confidentialité et données personnelles</t>
        </is>
      </c>
      <c r="E169" s="4" t="inlineStr">
        <is>
          <t>sonnet</t>
        </is>
      </c>
      <c r="F169" s="4" t="n">
        <v>6</v>
      </c>
      <c r="G169" s="4" t="inlineStr">
        <is>
          <t>—</t>
        </is>
      </c>
      <c r="H169" s="4" t="inlineStr">
        <is>
          <t>NON_FAIT</t>
        </is>
      </c>
      <c r="I169" s="5" t="inlineStr"/>
    </row>
    <row r="170">
      <c r="A170" s="4" t="n">
        <v>142</v>
      </c>
      <c r="B170" s="5" t="inlineStr">
        <is>
          <t>P18 · Sécurité Keycloak et durcissement</t>
        </is>
      </c>
      <c r="C170" s="4" t="inlineStr">
        <is>
          <t>P18-T07</t>
        </is>
      </c>
      <c r="D170" s="5" t="inlineStr">
        <is>
          <t>Retrait de l'authentification de développement en production</t>
        </is>
      </c>
      <c r="E170" s="4" t="inlineStr">
        <is>
          <t>haiku</t>
        </is>
      </c>
      <c r="F170" s="4" t="n">
        <v>7</v>
      </c>
      <c r="G170" s="4" t="inlineStr">
        <is>
          <t>P18-T02</t>
        </is>
      </c>
      <c r="H170" s="4" t="inlineStr">
        <is>
          <t>NON_FAIT</t>
        </is>
      </c>
      <c r="I170" s="5" t="inlineStr"/>
    </row>
    <row r="171">
      <c r="A171" s="4" t="n">
        <v>143</v>
      </c>
      <c r="B171" s="5" t="inlineStr">
        <is>
          <t>P19 · Performance, recette finale et mise en production</t>
        </is>
      </c>
      <c r="C171" s="4" t="inlineStr">
        <is>
          <t>P19-T01</t>
        </is>
      </c>
      <c r="D171" s="5" t="inlineStr">
        <is>
          <t>Jeu de données volumineux et tests de charge</t>
        </is>
      </c>
      <c r="E171" s="4" t="inlineStr">
        <is>
          <t>sonnet</t>
        </is>
      </c>
      <c r="F171" s="4" t="n">
        <v>1</v>
      </c>
      <c r="G171" s="4" t="inlineStr">
        <is>
          <t>—</t>
        </is>
      </c>
      <c r="H171" s="4" t="inlineStr">
        <is>
          <t>NON_FAIT</t>
        </is>
      </c>
      <c r="I171" s="5" t="inlineStr"/>
    </row>
    <row r="172">
      <c r="A172" s="4" t="n">
        <v>144</v>
      </c>
      <c r="B172" s="5" t="inlineStr">
        <is>
          <t>P19 · Performance, recette finale et mise en production</t>
        </is>
      </c>
      <c r="C172" s="4" t="inlineStr">
        <is>
          <t>P19-T02</t>
        </is>
      </c>
      <c r="D172" s="5" t="inlineStr">
        <is>
          <t>Optimisations</t>
        </is>
      </c>
      <c r="E172" s="4" t="inlineStr">
        <is>
          <t>sonnet</t>
        </is>
      </c>
      <c r="F172" s="4" t="n">
        <v>2</v>
      </c>
      <c r="G172" s="4" t="inlineStr">
        <is>
          <t>P19-T01</t>
        </is>
      </c>
      <c r="H172" s="4" t="inlineStr">
        <is>
          <t>NON_FAIT</t>
        </is>
      </c>
      <c r="I172" s="5" t="inlineStr"/>
    </row>
    <row r="173">
      <c r="A173" s="4" t="n">
        <v>145</v>
      </c>
      <c r="B173" s="5" t="inlineStr">
        <is>
          <t>P19 · Performance, recette finale et mise en production</t>
        </is>
      </c>
      <c r="C173" s="4" t="inlineStr">
        <is>
          <t>P19-T03</t>
        </is>
      </c>
      <c r="D173" s="5" t="inlineStr">
        <is>
          <t>Observabilité</t>
        </is>
      </c>
      <c r="E173" s="4" t="inlineStr">
        <is>
          <t>sonnet</t>
        </is>
      </c>
      <c r="F173" s="4" t="n">
        <v>3</v>
      </c>
      <c r="G173" s="4" t="inlineStr">
        <is>
          <t>—</t>
        </is>
      </c>
      <c r="H173" s="4" t="inlineStr">
        <is>
          <t>NON_FAIT</t>
        </is>
      </c>
      <c r="I173" s="5" t="inlineStr"/>
    </row>
    <row r="174">
      <c r="A174" s="4" t="n">
        <v>146</v>
      </c>
      <c r="B174" s="5" t="inlineStr">
        <is>
          <t>P19 · Performance, recette finale et mise en production</t>
        </is>
      </c>
      <c r="C174" s="4" t="inlineStr">
        <is>
          <t>P19-T04</t>
        </is>
      </c>
      <c r="D174" s="5" t="inlineStr">
        <is>
          <t>Documentation d'exploitation et manuels</t>
        </is>
      </c>
      <c r="E174" s="4" t="inlineStr">
        <is>
          <t>haiku</t>
        </is>
      </c>
      <c r="F174" s="4" t="n">
        <v>4</v>
      </c>
      <c r="G174" s="4" t="inlineStr">
        <is>
          <t>—</t>
        </is>
      </c>
      <c r="H174" s="4" t="inlineStr">
        <is>
          <t>NON_FAIT</t>
        </is>
      </c>
      <c r="I174" s="5" t="inlineStr"/>
    </row>
    <row r="175">
      <c r="A175" s="4" t="n">
        <v>147</v>
      </c>
      <c r="B175" s="5" t="inlineStr">
        <is>
          <t>P19 · Performance, recette finale et mise en production</t>
        </is>
      </c>
      <c r="C175" s="4" t="inlineStr">
        <is>
          <t>P19-T05</t>
        </is>
      </c>
      <c r="D175" s="5" t="inlineStr">
        <is>
          <t>Recette finale</t>
        </is>
      </c>
      <c r="E175" s="4" t="inlineStr">
        <is>
          <t>sonnet</t>
        </is>
      </c>
      <c r="F175" s="4" t="n">
        <v>5</v>
      </c>
      <c r="G175" s="4" t="inlineStr">
        <is>
          <t>P19-T02, P19-T03</t>
        </is>
      </c>
      <c r="H175" s="4" t="inlineStr">
        <is>
          <t>NON_FAIT</t>
        </is>
      </c>
      <c r="I175" s="5" t="inlineStr"/>
    </row>
    <row r="176">
      <c r="A176" s="4" t="n">
        <v>148</v>
      </c>
      <c r="B176" s="5" t="inlineStr">
        <is>
          <t>P19 · Performance, recette finale et mise en production</t>
        </is>
      </c>
      <c r="C176" s="4" t="inlineStr">
        <is>
          <t>P19-T06</t>
        </is>
      </c>
      <c r="D176" s="5" t="inlineStr">
        <is>
          <t>Mise en production</t>
        </is>
      </c>
      <c r="E176" s="4" t="inlineStr">
        <is>
          <t>sonnet</t>
        </is>
      </c>
      <c r="F176" s="4" t="n">
        <v>6</v>
      </c>
      <c r="G176" s="4" t="inlineStr">
        <is>
          <t>P19-T05</t>
        </is>
      </c>
      <c r="H176" s="4" t="inlineStr">
        <is>
          <t>NON_FAIT</t>
        </is>
      </c>
      <c r="I176" s="5" t="inlineStr"/>
    </row>
  </sheetData>
  <autoFilter ref="A28:I176"/>
  <conditionalFormatting sqref="C5:C24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D5:D2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E29:E176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H29:H176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1" r:id="rId23"/>
    <hyperlink xmlns:r="http://schemas.openxmlformats.org/officeDocument/2006/relationships" ref="C32" r:id="rId24"/>
    <hyperlink xmlns:r="http://schemas.openxmlformats.org/officeDocument/2006/relationships" ref="C33" r:id="rId25"/>
    <hyperlink xmlns:r="http://schemas.openxmlformats.org/officeDocument/2006/relationships" ref="C34" r:id="rId26"/>
    <hyperlink xmlns:r="http://schemas.openxmlformats.org/officeDocument/2006/relationships" ref="C35" r:id="rId27"/>
    <hyperlink xmlns:r="http://schemas.openxmlformats.org/officeDocument/2006/relationships" ref="C36" r:id="rId28"/>
    <hyperlink xmlns:r="http://schemas.openxmlformats.org/officeDocument/2006/relationships" ref="C37" r:id="rId29"/>
    <hyperlink xmlns:r="http://schemas.openxmlformats.org/officeDocument/2006/relationships" ref="C38" r:id="rId30"/>
    <hyperlink xmlns:r="http://schemas.openxmlformats.org/officeDocument/2006/relationships" ref="C39" r:id="rId31"/>
    <hyperlink xmlns:r="http://schemas.openxmlformats.org/officeDocument/2006/relationships" ref="C40" r:id="rId32"/>
    <hyperlink xmlns:r="http://schemas.openxmlformats.org/officeDocument/2006/relationships" ref="C41" r:id="rId33"/>
    <hyperlink xmlns:r="http://schemas.openxmlformats.org/officeDocument/2006/relationships" ref="C42" r:id="rId34"/>
    <hyperlink xmlns:r="http://schemas.openxmlformats.org/officeDocument/2006/relationships" ref="C43" r:id="rId35"/>
    <hyperlink xmlns:r="http://schemas.openxmlformats.org/officeDocument/2006/relationships" ref="C44" r:id="rId36"/>
    <hyperlink xmlns:r="http://schemas.openxmlformats.org/officeDocument/2006/relationships" ref="C45" r:id="rId37"/>
    <hyperlink xmlns:r="http://schemas.openxmlformats.org/officeDocument/2006/relationships" ref="C46" r:id="rId38"/>
    <hyperlink xmlns:r="http://schemas.openxmlformats.org/officeDocument/2006/relationships" ref="C47" r:id="rId39"/>
    <hyperlink xmlns:r="http://schemas.openxmlformats.org/officeDocument/2006/relationships" ref="C48" r:id="rId40"/>
    <hyperlink xmlns:r="http://schemas.openxmlformats.org/officeDocument/2006/relationships" ref="C49" r:id="rId41"/>
    <hyperlink xmlns:r="http://schemas.openxmlformats.org/officeDocument/2006/relationships" ref="C50" r:id="rId42"/>
    <hyperlink xmlns:r="http://schemas.openxmlformats.org/officeDocument/2006/relationships" ref="C51" r:id="rId43"/>
    <hyperlink xmlns:r="http://schemas.openxmlformats.org/officeDocument/2006/relationships" ref="C52" r:id="rId44"/>
    <hyperlink xmlns:r="http://schemas.openxmlformats.org/officeDocument/2006/relationships" ref="C53" r:id="rId45"/>
    <hyperlink xmlns:r="http://schemas.openxmlformats.org/officeDocument/2006/relationships" ref="C54" r:id="rId46"/>
    <hyperlink xmlns:r="http://schemas.openxmlformats.org/officeDocument/2006/relationships" ref="C55" r:id="rId47"/>
    <hyperlink xmlns:r="http://schemas.openxmlformats.org/officeDocument/2006/relationships" ref="C56" r:id="rId48"/>
    <hyperlink xmlns:r="http://schemas.openxmlformats.org/officeDocument/2006/relationships" ref="C57" r:id="rId49"/>
    <hyperlink xmlns:r="http://schemas.openxmlformats.org/officeDocument/2006/relationships" ref="C58" r:id="rId50"/>
    <hyperlink xmlns:r="http://schemas.openxmlformats.org/officeDocument/2006/relationships" ref="C59" r:id="rId51"/>
    <hyperlink xmlns:r="http://schemas.openxmlformats.org/officeDocument/2006/relationships" ref="C60" r:id="rId52"/>
    <hyperlink xmlns:r="http://schemas.openxmlformats.org/officeDocument/2006/relationships" ref="C61" r:id="rId53"/>
    <hyperlink xmlns:r="http://schemas.openxmlformats.org/officeDocument/2006/relationships" ref="C62" r:id="rId54"/>
    <hyperlink xmlns:r="http://schemas.openxmlformats.org/officeDocument/2006/relationships" ref="C63" r:id="rId55"/>
    <hyperlink xmlns:r="http://schemas.openxmlformats.org/officeDocument/2006/relationships" ref="C64" r:id="rId56"/>
    <hyperlink xmlns:r="http://schemas.openxmlformats.org/officeDocument/2006/relationships" ref="C65" r:id="rId57"/>
    <hyperlink xmlns:r="http://schemas.openxmlformats.org/officeDocument/2006/relationships" ref="C66" r:id="rId58"/>
    <hyperlink xmlns:r="http://schemas.openxmlformats.org/officeDocument/2006/relationships" ref="C67" r:id="rId59"/>
    <hyperlink xmlns:r="http://schemas.openxmlformats.org/officeDocument/2006/relationships" ref="C68" r:id="rId60"/>
    <hyperlink xmlns:r="http://schemas.openxmlformats.org/officeDocument/2006/relationships" ref="C69" r:id="rId61"/>
    <hyperlink xmlns:r="http://schemas.openxmlformats.org/officeDocument/2006/relationships" ref="C70" r:id="rId62"/>
    <hyperlink xmlns:r="http://schemas.openxmlformats.org/officeDocument/2006/relationships" ref="C71" r:id="rId63"/>
    <hyperlink xmlns:r="http://schemas.openxmlformats.org/officeDocument/2006/relationships" ref="C72" r:id="rId64"/>
    <hyperlink xmlns:r="http://schemas.openxmlformats.org/officeDocument/2006/relationships" ref="C73" r:id="rId65"/>
    <hyperlink xmlns:r="http://schemas.openxmlformats.org/officeDocument/2006/relationships" ref="C74" r:id="rId66"/>
    <hyperlink xmlns:r="http://schemas.openxmlformats.org/officeDocument/2006/relationships" ref="C75" r:id="rId67"/>
    <hyperlink xmlns:r="http://schemas.openxmlformats.org/officeDocument/2006/relationships" ref="C76" r:id="rId68"/>
    <hyperlink xmlns:r="http://schemas.openxmlformats.org/officeDocument/2006/relationships" ref="C77" r:id="rId69"/>
    <hyperlink xmlns:r="http://schemas.openxmlformats.org/officeDocument/2006/relationships" ref="C78" r:id="rId70"/>
    <hyperlink xmlns:r="http://schemas.openxmlformats.org/officeDocument/2006/relationships" ref="C79" r:id="rId71"/>
    <hyperlink xmlns:r="http://schemas.openxmlformats.org/officeDocument/2006/relationships" ref="C80" r:id="rId72"/>
    <hyperlink xmlns:r="http://schemas.openxmlformats.org/officeDocument/2006/relationships" ref="C81" r:id="rId73"/>
    <hyperlink xmlns:r="http://schemas.openxmlformats.org/officeDocument/2006/relationships" ref="C82" r:id="rId74"/>
    <hyperlink xmlns:r="http://schemas.openxmlformats.org/officeDocument/2006/relationships" ref="C83" r:id="rId75"/>
    <hyperlink xmlns:r="http://schemas.openxmlformats.org/officeDocument/2006/relationships" ref="C84" r:id="rId76"/>
    <hyperlink xmlns:r="http://schemas.openxmlformats.org/officeDocument/2006/relationships" ref="C85" r:id="rId77"/>
    <hyperlink xmlns:r="http://schemas.openxmlformats.org/officeDocument/2006/relationships" ref="C86" r:id="rId78"/>
    <hyperlink xmlns:r="http://schemas.openxmlformats.org/officeDocument/2006/relationships" ref="C87" r:id="rId79"/>
    <hyperlink xmlns:r="http://schemas.openxmlformats.org/officeDocument/2006/relationships" ref="C88" r:id="rId80"/>
    <hyperlink xmlns:r="http://schemas.openxmlformats.org/officeDocument/2006/relationships" ref="C89" r:id="rId81"/>
    <hyperlink xmlns:r="http://schemas.openxmlformats.org/officeDocument/2006/relationships" ref="C90" r:id="rId82"/>
    <hyperlink xmlns:r="http://schemas.openxmlformats.org/officeDocument/2006/relationships" ref="C91" r:id="rId83"/>
    <hyperlink xmlns:r="http://schemas.openxmlformats.org/officeDocument/2006/relationships" ref="C92" r:id="rId84"/>
    <hyperlink xmlns:r="http://schemas.openxmlformats.org/officeDocument/2006/relationships" ref="C93" r:id="rId85"/>
    <hyperlink xmlns:r="http://schemas.openxmlformats.org/officeDocument/2006/relationships" ref="C94" r:id="rId86"/>
    <hyperlink xmlns:r="http://schemas.openxmlformats.org/officeDocument/2006/relationships" ref="C95" r:id="rId87"/>
    <hyperlink xmlns:r="http://schemas.openxmlformats.org/officeDocument/2006/relationships" ref="C96" r:id="rId88"/>
    <hyperlink xmlns:r="http://schemas.openxmlformats.org/officeDocument/2006/relationships" ref="C97" r:id="rId89"/>
    <hyperlink xmlns:r="http://schemas.openxmlformats.org/officeDocument/2006/relationships" ref="C98" r:id="rId90"/>
    <hyperlink xmlns:r="http://schemas.openxmlformats.org/officeDocument/2006/relationships" ref="C99" r:id="rId91"/>
    <hyperlink xmlns:r="http://schemas.openxmlformats.org/officeDocument/2006/relationships" ref="C100" r:id="rId92"/>
    <hyperlink xmlns:r="http://schemas.openxmlformats.org/officeDocument/2006/relationships" ref="C101" r:id="rId93"/>
    <hyperlink xmlns:r="http://schemas.openxmlformats.org/officeDocument/2006/relationships" ref="C102" r:id="rId94"/>
    <hyperlink xmlns:r="http://schemas.openxmlformats.org/officeDocument/2006/relationships" ref="C103" r:id="rId95"/>
    <hyperlink xmlns:r="http://schemas.openxmlformats.org/officeDocument/2006/relationships" ref="C104" r:id="rId96"/>
    <hyperlink xmlns:r="http://schemas.openxmlformats.org/officeDocument/2006/relationships" ref="C105" r:id="rId97"/>
    <hyperlink xmlns:r="http://schemas.openxmlformats.org/officeDocument/2006/relationships" ref="C106" r:id="rId98"/>
    <hyperlink xmlns:r="http://schemas.openxmlformats.org/officeDocument/2006/relationships" ref="C107" r:id="rId99"/>
    <hyperlink xmlns:r="http://schemas.openxmlformats.org/officeDocument/2006/relationships" ref="C108" r:id="rId100"/>
    <hyperlink xmlns:r="http://schemas.openxmlformats.org/officeDocument/2006/relationships" ref="C109" r:id="rId101"/>
    <hyperlink xmlns:r="http://schemas.openxmlformats.org/officeDocument/2006/relationships" ref="C110" r:id="rId102"/>
    <hyperlink xmlns:r="http://schemas.openxmlformats.org/officeDocument/2006/relationships" ref="C111" r:id="rId103"/>
    <hyperlink xmlns:r="http://schemas.openxmlformats.org/officeDocument/2006/relationships" ref="C112" r:id="rId104"/>
    <hyperlink xmlns:r="http://schemas.openxmlformats.org/officeDocument/2006/relationships" ref="C113" r:id="rId105"/>
    <hyperlink xmlns:r="http://schemas.openxmlformats.org/officeDocument/2006/relationships" ref="C114" r:id="rId106"/>
    <hyperlink xmlns:r="http://schemas.openxmlformats.org/officeDocument/2006/relationships" ref="C115" r:id="rId107"/>
    <hyperlink xmlns:r="http://schemas.openxmlformats.org/officeDocument/2006/relationships" ref="C116" r:id="rId108"/>
    <hyperlink xmlns:r="http://schemas.openxmlformats.org/officeDocument/2006/relationships" ref="C117" r:id="rId109"/>
    <hyperlink xmlns:r="http://schemas.openxmlformats.org/officeDocument/2006/relationships" ref="C118" r:id="rId110"/>
    <hyperlink xmlns:r="http://schemas.openxmlformats.org/officeDocument/2006/relationships" ref="C119" r:id="rId111"/>
    <hyperlink xmlns:r="http://schemas.openxmlformats.org/officeDocument/2006/relationships" ref="C120" r:id="rId112"/>
    <hyperlink xmlns:r="http://schemas.openxmlformats.org/officeDocument/2006/relationships" ref="C121" r:id="rId113"/>
    <hyperlink xmlns:r="http://schemas.openxmlformats.org/officeDocument/2006/relationships" ref="C122" r:id="rId114"/>
    <hyperlink xmlns:r="http://schemas.openxmlformats.org/officeDocument/2006/relationships" ref="C123" r:id="rId115"/>
    <hyperlink xmlns:r="http://schemas.openxmlformats.org/officeDocument/2006/relationships" ref="C124" r:id="rId116"/>
    <hyperlink xmlns:r="http://schemas.openxmlformats.org/officeDocument/2006/relationships" ref="C125" r:id="rId117"/>
    <hyperlink xmlns:r="http://schemas.openxmlformats.org/officeDocument/2006/relationships" ref="C126" r:id="rId118"/>
    <hyperlink xmlns:r="http://schemas.openxmlformats.org/officeDocument/2006/relationships" ref="C127" r:id="rId119"/>
    <hyperlink xmlns:r="http://schemas.openxmlformats.org/officeDocument/2006/relationships" ref="C128" r:id="rId120"/>
    <hyperlink xmlns:r="http://schemas.openxmlformats.org/officeDocument/2006/relationships" ref="C129" r:id="rId121"/>
    <hyperlink xmlns:r="http://schemas.openxmlformats.org/officeDocument/2006/relationships" ref="C130" r:id="rId122"/>
    <hyperlink xmlns:r="http://schemas.openxmlformats.org/officeDocument/2006/relationships" ref="C131" r:id="rId123"/>
    <hyperlink xmlns:r="http://schemas.openxmlformats.org/officeDocument/2006/relationships" ref="C132" r:id="rId124"/>
    <hyperlink xmlns:r="http://schemas.openxmlformats.org/officeDocument/2006/relationships" ref="C133" r:id="rId125"/>
    <hyperlink xmlns:r="http://schemas.openxmlformats.org/officeDocument/2006/relationships" ref="C134" r:id="rId126"/>
    <hyperlink xmlns:r="http://schemas.openxmlformats.org/officeDocument/2006/relationships" ref="C135" r:id="rId127"/>
    <hyperlink xmlns:r="http://schemas.openxmlformats.org/officeDocument/2006/relationships" ref="C136" r:id="rId128"/>
    <hyperlink xmlns:r="http://schemas.openxmlformats.org/officeDocument/2006/relationships" ref="C137" r:id="rId129"/>
    <hyperlink xmlns:r="http://schemas.openxmlformats.org/officeDocument/2006/relationships" ref="C138" r:id="rId130"/>
    <hyperlink xmlns:r="http://schemas.openxmlformats.org/officeDocument/2006/relationships" ref="C139" r:id="rId131"/>
    <hyperlink xmlns:r="http://schemas.openxmlformats.org/officeDocument/2006/relationships" ref="C140" r:id="rId132"/>
    <hyperlink xmlns:r="http://schemas.openxmlformats.org/officeDocument/2006/relationships" ref="C141" r:id="rId133"/>
    <hyperlink xmlns:r="http://schemas.openxmlformats.org/officeDocument/2006/relationships" ref="C142" r:id="rId134"/>
    <hyperlink xmlns:r="http://schemas.openxmlformats.org/officeDocument/2006/relationships" ref="C143" r:id="rId135"/>
    <hyperlink xmlns:r="http://schemas.openxmlformats.org/officeDocument/2006/relationships" ref="C144" r:id="rId136"/>
    <hyperlink xmlns:r="http://schemas.openxmlformats.org/officeDocument/2006/relationships" ref="C145" r:id="rId137"/>
    <hyperlink xmlns:r="http://schemas.openxmlformats.org/officeDocument/2006/relationships" ref="C146" r:id="rId138"/>
    <hyperlink xmlns:r="http://schemas.openxmlformats.org/officeDocument/2006/relationships" ref="C147" r:id="rId139"/>
    <hyperlink xmlns:r="http://schemas.openxmlformats.org/officeDocument/2006/relationships" ref="C148" r:id="rId140"/>
    <hyperlink xmlns:r="http://schemas.openxmlformats.org/officeDocument/2006/relationships" ref="C149" r:id="rId141"/>
    <hyperlink xmlns:r="http://schemas.openxmlformats.org/officeDocument/2006/relationships" ref="C150" r:id="rId142"/>
    <hyperlink xmlns:r="http://schemas.openxmlformats.org/officeDocument/2006/relationships" ref="C151" r:id="rId143"/>
    <hyperlink xmlns:r="http://schemas.openxmlformats.org/officeDocument/2006/relationships" ref="C152" r:id="rId144"/>
    <hyperlink xmlns:r="http://schemas.openxmlformats.org/officeDocument/2006/relationships" ref="C153" r:id="rId145"/>
    <hyperlink xmlns:r="http://schemas.openxmlformats.org/officeDocument/2006/relationships" ref="C154" r:id="rId146"/>
    <hyperlink xmlns:r="http://schemas.openxmlformats.org/officeDocument/2006/relationships" ref="C155" r:id="rId147"/>
    <hyperlink xmlns:r="http://schemas.openxmlformats.org/officeDocument/2006/relationships" ref="C156" r:id="rId148"/>
    <hyperlink xmlns:r="http://schemas.openxmlformats.org/officeDocument/2006/relationships" ref="C157" r:id="rId149"/>
    <hyperlink xmlns:r="http://schemas.openxmlformats.org/officeDocument/2006/relationships" ref="C158" r:id="rId150"/>
    <hyperlink xmlns:r="http://schemas.openxmlformats.org/officeDocument/2006/relationships" ref="C159" r:id="rId151"/>
    <hyperlink xmlns:r="http://schemas.openxmlformats.org/officeDocument/2006/relationships" ref="C160" r:id="rId152"/>
    <hyperlink xmlns:r="http://schemas.openxmlformats.org/officeDocument/2006/relationships" ref="C161" r:id="rId153"/>
    <hyperlink xmlns:r="http://schemas.openxmlformats.org/officeDocument/2006/relationships" ref="C162" r:id="rId154"/>
    <hyperlink xmlns:r="http://schemas.openxmlformats.org/officeDocument/2006/relationships" ref="C163" r:id="rId155"/>
    <hyperlink xmlns:r="http://schemas.openxmlformats.org/officeDocument/2006/relationships" ref="C164" r:id="rId156"/>
    <hyperlink xmlns:r="http://schemas.openxmlformats.org/officeDocument/2006/relationships" ref="C165" r:id="rId157"/>
    <hyperlink xmlns:r="http://schemas.openxmlformats.org/officeDocument/2006/relationships" ref="C166" r:id="rId158"/>
    <hyperlink xmlns:r="http://schemas.openxmlformats.org/officeDocument/2006/relationships" ref="C167" r:id="rId159"/>
    <hyperlink xmlns:r="http://schemas.openxmlformats.org/officeDocument/2006/relationships" ref="C168" r:id="rId160"/>
    <hyperlink xmlns:r="http://schemas.openxmlformats.org/officeDocument/2006/relationships" ref="C169" r:id="rId161"/>
    <hyperlink xmlns:r="http://schemas.openxmlformats.org/officeDocument/2006/relationships" ref="C170" r:id="rId162"/>
    <hyperlink xmlns:r="http://schemas.openxmlformats.org/officeDocument/2006/relationships" ref="C171" r:id="rId163"/>
    <hyperlink xmlns:r="http://schemas.openxmlformats.org/officeDocument/2006/relationships" ref="C172" r:id="rId164"/>
    <hyperlink xmlns:r="http://schemas.openxmlformats.org/officeDocument/2006/relationships" ref="C173" r:id="rId165"/>
    <hyperlink xmlns:r="http://schemas.openxmlformats.org/officeDocument/2006/relationships" ref="C174" r:id="rId166"/>
    <hyperlink xmlns:r="http://schemas.openxmlformats.org/officeDocument/2006/relationships" ref="C175" r:id="rId167"/>
    <hyperlink xmlns:r="http://schemas.openxmlformats.org/officeDocument/2006/relationships" ref="C176" r:id="rId1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P0 · Initialisation et outillage</t>
        </is>
      </c>
    </row>
    <row r="2" ht="32" customHeight="1">
      <c r="A2" s="11" t="inlineStr">
        <is>
          <t>Objectif : dépôt Git propre, conventions, environnement vérifié, base de test opérationnelle. Livrable : un dépôt prêt à recevoir la solution .NET.</t>
        </is>
      </c>
    </row>
    <row r="3">
      <c r="A3" s="7" t="inlineStr">
        <is>
          <t>Statut phase</t>
        </is>
      </c>
      <c r="B3" s="7" t="inlineStr">
        <is>
          <t>VALIDEE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P0-T01</t>
        </is>
      </c>
      <c r="C8" s="5" t="inlineStr">
        <is>
          <t>Initialiser le dépôt Git et la branche de phase</t>
        </is>
      </c>
      <c r="D8" s="4" t="inlineStr">
        <is>
          <t>haiku</t>
        </is>
      </c>
      <c r="E8" s="4" t="inlineStr">
        <is>
          <t>—</t>
        </is>
      </c>
      <c r="F8" s="4" t="inlineStr">
        <is>
          <t>VALIDE</t>
        </is>
      </c>
      <c r="G8" s="5" t="inlineStr">
        <is>
          <t>git init -b main à la racine du projet, premier commit contenant l'existant (CLAUDE.md, .claude/, backlog/, scripts/, database/), puis branche phase/P0-initialisation. Le .gitignore existe déjà (secrets locaux dont .claude/settings.local.json, .pgtest/, .NET) : le vérifier avant le premier git add, le compléter si besoin. Créer .gitattributes (* text=auto eol=lf, *.sql et *.md en LF, *.ps1 en CRLF).</t>
        </is>
      </c>
      <c r="H8" s="5" t="inlineStr">
        <is>
          <t>git log --oneline montre au moins 2 commits ; git status --porcelain est vide ; git check-ignore .pgtest/x bin/x .claude/settings.local.json renvoie les trois chemins ; git ls-files | grep -c settings.local renvoie 0.</t>
        </is>
      </c>
      <c r="I8" s="5" t="inlineStr"/>
      <c r="J8" s="5" t="inlineStr"/>
    </row>
    <row r="9">
      <c r="A9" s="4" t="n">
        <v>2</v>
      </c>
      <c r="B9" s="4" t="inlineStr">
        <is>
          <t>P0-T02</t>
        </is>
      </c>
      <c r="C9" s="5" t="inlineStr">
        <is>
          <t>Script de vérification de l'environnement</t>
        </is>
      </c>
      <c r="D9" s="4" t="inlineStr">
        <is>
          <t>haiku</t>
        </is>
      </c>
      <c r="E9" s="4" t="inlineStr">
        <is>
          <t>P0-T01</t>
        </is>
      </c>
      <c r="F9" s="4" t="inlineStr">
        <is>
          <t>VALIDE</t>
        </is>
      </c>
      <c r="G9" s="5" t="inlineStr">
        <is>
          <t>scripts/verifier-env.py affiche un tableau OK / MANQUANT / OPTIONNEL pour : .NET SDK 10, Python ≥ 3.12 avec le module openpyxl (export Excel du backlog), binaires PostgreSQL 18 (PG_BIN), Git, Node.js (optionnel : ponytail, motion), Docker (requis à partir de P3), uv et graphify (optionnels). Code de sortie 1 si un outil requis manque.</t>
        </is>
      </c>
      <c r="H9" s="5" t="inlineStr">
        <is>
          <t>python scripts/verifier-env.py affiche le tableau et sort en 0 sur ce poste (dotnet, python, PostgreSQL, git présents) ; en masquant PG_BIN vers un dossier vide, il sort en 1.</t>
        </is>
      </c>
      <c r="I9" s="5" t="inlineStr"/>
      <c r="J9" s="5" t="inlineStr">
        <is>
          <t>H-015 (OUVERTE)</t>
        </is>
      </c>
    </row>
    <row r="10">
      <c r="A10" s="4" t="n">
        <v>3</v>
      </c>
      <c r="B10" s="4" t="inlineStr">
        <is>
          <t>P0-T03</t>
        </is>
      </c>
      <c r="C10" s="5" t="inlineStr">
        <is>
          <t>Valider l'instance PostgreSQL de test et le schéma de référence</t>
        </is>
      </c>
      <c r="D10" s="4" t="inlineStr">
        <is>
          <t>sonnet</t>
        </is>
      </c>
      <c r="E10" s="4" t="inlineStr">
        <is>
          <t>P0-T01</t>
        </is>
      </c>
      <c r="F10" s="4" t="inlineStr">
        <is>
          <t>VALIDE</t>
        </is>
      </c>
      <c r="G10" s="5" t="inlineStr">
        <is>
          <t>utiliser scripts/pg-test.py pour démarrer l'instance jetable, appliquer database/01 et 02, exécuter database/03-tests-integrite.sql, puis arrêter. Ajouter scripts/tester-schema.py qui automatise cela et vérifie que les 13 blocs « attendu ERREUR » échouent et que les autres réussissent (analyse de la sortie psql).</t>
        </is>
      </c>
      <c r="H10" s="5" t="inlineStr">
        <is>
          <t>python scripts/tester-schema.py sort en 0 et affiche « 18/18 vérifications conformes » ; .pgtest/ n'existe plus après exécution.</t>
        </is>
      </c>
      <c r="I10" s="5" t="inlineStr"/>
      <c r="J10" s="5" t="inlineStr">
        <is>
          <t>H-016 (OUVERTE)</t>
        </is>
      </c>
    </row>
    <row r="11">
      <c r="A11" s="4" t="n">
        <v>4</v>
      </c>
      <c r="B11" s="4" t="inlineStr">
        <is>
          <t>P0-T04</t>
        </is>
      </c>
      <c r="C11" s="5" t="inlineStr">
        <is>
          <t>Conventions de build .NET centralisées</t>
        </is>
      </c>
      <c r="D11" s="4" t="inlineStr">
        <is>
          <t>haiku</t>
        </is>
      </c>
      <c r="E11" s="4" t="inlineStr">
        <is>
          <t>P0-T01</t>
        </is>
      </c>
      <c r="F11" s="4" t="inlineStr">
        <is>
          <t>VALIDE</t>
        </is>
      </c>
      <c r="G11" s="5" t="inlineStr">
        <is>
          <t>global.json (SDK 10.0.4xx, rollForward: latestFeature), Directory.Build.props (net10.0, Nullable enable, ImplicitUsings enable, TreatWarningsAsErrors true, AnalysisLevel latest-recommended, InvariantGlobalization false), Directory.Packages.props (gestion centralisée des versions : EF Core 10, Npgsql 10, Mapperly, FluentValidation, Serilog, xUnit, FluentAssertions, bUnit, NetArchTest, Microsoft.AspNetCore.Components.WebAssembly et .Server), .editorconfig (style C# : file-scoped namespaces, var si évident, accolades, nommage _champ).</t>
        </is>
      </c>
      <c r="H11" s="5" t="inlineStr">
        <is>
          <t>dotnet --version (dans le dossier) renvoie une version 10.0.4xx ; dotnet new console -o .tmpcheck &amp;&amp; dotnet build .tmpcheck réussit avec les props appliquées (vérifier TreatWarningsAsErrors dans obj/*.nuget.g.props ou via dotnet msbuild -getProperty:TreatWarningsAsErrors) ; supprimer .tmpcheck.</t>
        </is>
      </c>
      <c r="I11" s="5" t="inlineStr"/>
      <c r="J11" s="5" t="inlineStr">
        <is>
          <t>H-017 (REPONDUE)</t>
        </is>
      </c>
    </row>
    <row r="12">
      <c r="A12" s="4" t="n">
        <v>5</v>
      </c>
      <c r="B12" s="4" t="inlineStr">
        <is>
          <t>P0-T05</t>
        </is>
      </c>
      <c r="C12" s="5" t="inlineStr">
        <is>
          <t>Modèles GitLab et guide de contribution</t>
        </is>
      </c>
      <c r="D12" s="4" t="inlineStr">
        <is>
          <t>haiku</t>
        </is>
      </c>
      <c r="E12" s="4" t="inlineStr">
        <is>
          <t>P0-T01</t>
        </is>
      </c>
      <c r="F12" s="4" t="inlineStr">
        <is>
          <t>VALIDE</t>
        </is>
      </c>
      <c r="G12" s="5" t="inlineStr">
        <is>
          <t>.gitlab/merge_request_templates/Phase.md (résumé de phase, tâches, preuves, hypothèses, checklist de revue), .gitlab/issue_templates/Anomalie.md et Demande.md, CONTRIBUTING.md (branches phase/Pn-…, commits Pn-Tnn: …, revue, règles des couches, comment lancer les tests).</t>
        </is>
      </c>
      <c r="H12" s="5" t="inlineStr">
        <is>
          <t>les 4 fichiers existent ; CONTRIBUTING.md contient les sections « Branches », « Commits », « Architecture », « Tests » (grep -c "^## " ≥ 4).</t>
        </is>
      </c>
      <c r="I12" s="5" t="inlineStr"/>
      <c r="J12" s="5" t="inlineStr"/>
    </row>
    <row r="13">
      <c r="A13" s="4" t="n">
        <v>6</v>
      </c>
      <c r="B13" s="4" t="inlineStr">
        <is>
          <t>P0-T06</t>
        </is>
      </c>
      <c r="C13" s="5" t="inlineStr">
        <is>
          <t>Rapport d'outillage Claude Code</t>
        </is>
      </c>
      <c r="D13" s="4" t="inlineStr">
        <is>
          <t>haiku</t>
        </is>
      </c>
      <c r="E13" s="4" t="inlineStr">
        <is>
          <t>P0-T02</t>
        </is>
      </c>
      <c r="F13" s="4" t="inlineStr">
        <is>
          <t>VALIDE</t>
        </is>
      </c>
      <c r="G13" s="5" t="inlineStr">
        <is>
          <t>docs/OUTILLAGE.md : état réel des plugins / skills (graphify, ponytail, ui-ux-pro-max, motion-design) détecté sur le poste (~/.claude/skills, .claude/skills, ~/.claude/plugins), des hooks et des sous-agents du projet, avec la commande d'installation de chaque élément manquant (voir scripts/installer-outils.ps1). Si un outil manque, créer une hypothèse non bloquante.</t>
        </is>
      </c>
      <c r="H13" s="5" t="inlineStr">
        <is>
          <t>docs/OUTILLAGE.md liste les 4 outils avec un statut chacun ; python scripts/backlog.py contexte s'exécute sans erreur.</t>
        </is>
      </c>
      <c r="I13" s="5" t="inlineStr"/>
      <c r="J13" s="5" t="inlineStr">
        <is>
          <t>H-003 (REPONDUE)
H-018 (OUVERTE)</t>
        </is>
      </c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3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3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 · Socle backend .NET 10</t>
        </is>
      </c>
    </row>
    <row r="2" ht="32" customHeight="1">
      <c r="A2" s="11" t="inlineStr">
        <is>
          <t>Objectif : solution en couches compilable, persistance PostgreSQL identique au schéma de référence, API démarrable. Livrable : Gprojet.slnx avec le projet unique Gprojet-Backend + API /health + tests d'architecture verts.</t>
        </is>
      </c>
    </row>
    <row r="3">
      <c r="A3" s="7" t="inlineStr">
        <is>
          <t>Statut phase</t>
        </is>
      </c>
      <c r="B3" s="7" t="inlineStr">
        <is>
          <t>EN_COURS</t>
        </is>
      </c>
    </row>
    <row r="4">
      <c r="A4" s="7" t="inlineStr">
        <is>
          <t>Modèle conseillé</t>
        </is>
      </c>
      <c r="B4" s="7" t="inlineStr">
        <is>
          <t>opus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P1-T01</t>
        </is>
      </c>
      <c r="C8" s="5" t="inlineStr">
        <is>
          <t>Créer la solution et le projet Gprojet-Backend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A_VALIDER</t>
        </is>
      </c>
      <c r="G8" s="5" t="inlineStr">
        <is>
          <t>Gprojet.slnx ; un seul projet backend src/Gprojet-Backend/Gprojet-Backend.csproj (Microsoft.NET.Sdk.Web, RootNamespace Gprojet.Backend) avec les dossiers-couches Web/, Orchestration/, Services/, Mapping/, Repositories/, Entities/, Contracts/, Infrastructure/, Common/ (espaces de noms alignés sur les dossiers) ; projet de tests tests/Gprojet-Backend.Tests (xUnit) avec Unitaires/, Integration/, Architecture/. Aucun autre projet (le front arrive en P2-T01). Demandes utilisateur à intégrer dans cette tâche : Directory.Packages.props → FluentAssertions en dernière 7.x stable (licence Apache 2.0, H-017) au lieu de 8.x ; migrer .gitlab/ vers .github/ (pull_request_template.md, ISSUE_TEMPLATE/Anomalie.md et Demande.md) et adapter CONTRIBUTING.md (pull requests GitHub).</t>
        </is>
      </c>
      <c r="H8" s="5" t="inlineStr">
        <is>
          <t>dotnet build Gprojet.slnx réussit sans avertissement ; dotnet sln Gprojet.slnx list affiche exactement 2 projets (Gprojet-Backend, Gprojet-Backend.Tests) ; dotnet test passe (test de fumée). Directory.Packages.props référence FluentAssertions 7.x ; .gitlab/ n'existe plus et .github/pull_request_template.md existe.</t>
        </is>
      </c>
      <c r="I8" s="5" t="inlineStr"/>
      <c r="J8" s="5" t="inlineStr"/>
    </row>
    <row r="9">
      <c r="A9" s="4" t="n">
        <v>2</v>
      </c>
      <c r="B9" s="4" t="inlineStr">
        <is>
          <t>P1-T02</t>
        </is>
      </c>
      <c r="C9" s="5" t="inlineStr">
        <is>
          <t>Tests d'architecture par espace de noms</t>
        </is>
      </c>
      <c r="D9" s="4" t="inlineStr">
        <is>
          <t>opus</t>
        </is>
      </c>
      <c r="E9" s="4" t="inlineStr">
        <is>
          <t>P1-T01</t>
        </is>
      </c>
      <c r="F9" s="4" t="inlineStr">
        <is>
          <t>A_VALIDER</t>
        </is>
      </c>
      <c r="G9" s="5" t="inlineStr">
        <is>
          <t>les couches étant des dossiers d'un même projet, ces tests remplacent le compilateur comme garde. NetArchTest dans tests/Gprojet-Backend.Tests/Architecture/, une règle par interdiction entre espaces de noms Gprojet.Backend.* : Web ↛ Services / Repositories / Entities ; Orchestration ↛ implémentations de Repositories ; Services ↛ Contracts, Mapping, EF Core ; Entities ↛ toute autre couche sauf Common ; Contracts ↛ tout sauf BCL et FluentValidation (compilé dans le navigateur) ; types *Dto uniquement dans Contracts ; contrôleurs uniquement dans Web. Test « garde-fou » : des types de violation volontaire, définis dans le projet de test sous des espaces de noms simulés, sont bien détectés.</t>
        </is>
      </c>
      <c r="H9" s="5" t="inlineStr">
        <is>
          <t>dotnet test tests/Gprojet-Backend.Tests --filter Category=Architecture → tous verts, ≥ 10 règles ; le garde-fou prouve qu'une violation fait échouer la règle (assert inversé).</t>
        </is>
      </c>
      <c r="I9" s="5" t="inlineStr"/>
      <c r="J9" s="5" t="inlineStr">
        <is>
          <t>H-019 (OUVERTE)</t>
        </is>
      </c>
    </row>
    <row r="10">
      <c r="A10" s="4" t="n">
        <v>3</v>
      </c>
      <c r="B10" s="4" t="inlineStr">
        <is>
          <t>P1-T03</t>
        </is>
      </c>
      <c r="C10" s="5" t="inlineStr">
        <is>
          <t>Common : primitives transverses</t>
        </is>
      </c>
      <c r="D10" s="4" t="inlineStr">
        <is>
          <t>sonnet</t>
        </is>
      </c>
      <c r="E10" s="4" t="inlineStr">
        <is>
          <t>P1-T01</t>
        </is>
      </c>
      <c r="F10" s="4" t="inlineStr">
        <is>
          <t>A_VALIDER</t>
        </is>
      </c>
      <c r="G10" s="5" t="inlineStr">
        <is>
          <t>Result&lt;T&gt; / Result, exceptions métier (RegleMetierException, AccesRefuseException, IntrouvableException, ConflitException), PageRequete / PageResultat&lt;T&gt; (tri, filtre, taille max 200), ICurrentUser (Id agent, matricule, entité, rôles), IHorloge (testable), IGenerateurCode (codes lisibles).</t>
        </is>
      </c>
      <c r="H10" s="5" t="inlineStr">
        <is>
          <t>dotnet test tests/Gprojet-Backend.Tests --filter Category=Common → tests de Result, pagination (bornes, taille max) et horloge factice verts.</t>
        </is>
      </c>
      <c r="I10" s="5" t="inlineStr"/>
      <c r="J10" s="5" t="inlineStr">
        <is>
          <t>H-020 (OUVERTE)</t>
        </is>
      </c>
    </row>
    <row r="11">
      <c r="A11" s="4" t="n">
        <v>4</v>
      </c>
      <c r="B11" s="4" t="inlineStr">
        <is>
          <t>P1-T04</t>
        </is>
      </c>
      <c r="C11" s="5" t="inlineStr">
        <is>
          <t>Entités du domaine (6 schémas)</t>
        </is>
      </c>
      <c r="D11" s="4" t="inlineStr">
        <is>
          <t>opus</t>
        </is>
      </c>
      <c r="E11" s="4" t="inlineStr">
        <is>
          <t>P1-T03</t>
        </is>
      </c>
      <c r="F11" s="4" t="inlineStr">
        <is>
          <t>A_VALIDER</t>
        </is>
      </c>
      <c r="G11" s="5" t="inlineStr">
        <is>
          <t>EntiteAuditable (Id Guid v7, audit, suppression logique) et une classe par table de database/01-schema.sql, rangées par module (Organisation, Projets, Planification, Temps, Commun, Modelisation), avec propriétés de navigation, collections, et énumérations C# pour chaque CHECK … IN. Historique n'hérite pas d'EntiteAuditable (bigint, ajout seul).</t>
        </is>
      </c>
      <c r="H11" s="5" t="inlineStr">
        <is>
          <t>dotnet build OK ; test de réflexion : nombre de types entités = 60 et chaque énumération a les mêmes valeurs que la contrainte SQL correspondante (test paramétré lisant 01-schema.sql).</t>
        </is>
      </c>
      <c r="I11" s="5" t="inlineStr"/>
      <c r="J11" s="5" t="inlineStr">
        <is>
          <t>H-021 (OUVERTE)</t>
        </is>
      </c>
    </row>
    <row r="12">
      <c r="A12" s="4" t="n">
        <v>5</v>
      </c>
      <c r="B12" s="4" t="inlineStr">
        <is>
          <t>P1-T05</t>
        </is>
      </c>
      <c r="C12" s="5" t="inlineStr">
        <is>
          <t>DbContext et configurations EF Core</t>
        </is>
      </c>
      <c r="D12" s="4" t="inlineStr">
        <is>
          <t>opus</t>
        </is>
      </c>
      <c r="E12" s="4" t="inlineStr">
        <is>
          <t>P1-T04</t>
        </is>
      </c>
      <c r="F12" s="4" t="inlineStr">
        <is>
          <t>A_VALIDER</t>
        </is>
      </c>
      <c r="G12" s="5" t="inlineStr">
        <is>
          <t>GpDbContext (Npgsql, extension ltree), une IEntityTypeConfiguration&lt;T&gt; par entité : schéma, noms snake_case, types (numeric(p,s), ltree, jsonb, text[], inet), uuidv7() par défaut, contraintes CHECK, index uniques partiels (HasFilter), index GiST, colonne générée criticite, xmin (concurrence), filtre global !EstSupprime, conversions enum → texte.</t>
        </is>
      </c>
      <c r="H12" s="5" t="inlineStr">
        <is>
          <t>dotnet build OK ; dotnet ef dbcontext info réussit ; test unitaire : le modèle EF déclare 60 tables réparties dans les 6 schémas.</t>
        </is>
      </c>
      <c r="I12" s="5" t="inlineStr"/>
      <c r="J12" s="5" t="inlineStr">
        <is>
          <t>H-022 (OUVERTE)</t>
        </is>
      </c>
    </row>
    <row r="13">
      <c r="A13" s="4" t="n">
        <v>6</v>
      </c>
      <c r="B13" s="4" t="inlineStr">
        <is>
          <t>P1-T06</t>
        </is>
      </c>
      <c r="C13" s="5" t="inlineStr">
        <is>
          <t>Migration initiale identique au schéma de référence</t>
        </is>
      </c>
      <c r="D13" s="4" t="inlineStr">
        <is>
          <t>opus</t>
        </is>
      </c>
      <c r="E13" s="4" t="inlineStr">
        <is>
          <t>P1-T05</t>
        </is>
      </c>
      <c r="F13" s="4" t="inlineStr">
        <is>
          <t>EN_COURS</t>
        </is>
      </c>
      <c r="G13" s="5" t="inlineStr">
        <is>
          <t>migration InitialCreate (+ trigger d'ajout seul sur commun.historique et données de 02-donnees-reference.sql via migrationBuilder.Sql). Écrire scripts/comparer-schema.py : crée deux bases sur l'instance de test (l'une par 01-schema.sql, l'autre par dotnet ef database update), puis compare colonnes (type, nullabilité, défaut), contraintes, index (définition) et triggers via pg_catalog. Appliquer ensuite la migration à la base de développement gprojet (vide au départ ; connexion fournie par la variable ConnectionStrings__Gp, définie dans .claude/settings.local.json — ne jamais l'afficher ni la recopier).</t>
        </is>
      </c>
      <c r="H13" s="5" t="inlineStr">
        <is>
          <t>python scripts/comparer-schema.py → « 0 écart » ; toute différence est listée et fait échouer le script ; dotnet ef database update sur gprojet réussit et gprojet contient 60 tables dans les 6 schémas.</t>
        </is>
      </c>
      <c r="I13" s="5" t="inlineStr"/>
      <c r="J13" s="5" t="inlineStr">
        <is>
          <t>H-023 (OUVERTE)</t>
        </is>
      </c>
    </row>
    <row r="14">
      <c r="A14" s="4" t="n">
        <v>7</v>
      </c>
      <c r="B14" s="4" t="inlineStr">
        <is>
          <t>P1-T07</t>
        </is>
      </c>
      <c r="C14" s="5" t="inlineStr">
        <is>
          <t>Intercepteurs : audit, suppression logique, historique chaîné</t>
        </is>
      </c>
      <c r="D14" s="4" t="inlineStr">
        <is>
          <t>sonnet</t>
        </is>
      </c>
      <c r="E14" s="4" t="inlineStr">
        <is>
          <t>P1-T06</t>
        </is>
      </c>
      <c r="F14" s="4" t="inlineStr">
        <is>
          <t>NON_FAIT</t>
        </is>
      </c>
      <c r="G14" s="5" t="inlineStr">
        <is>
          <t>SaveChangesInterceptor qui renseigne cree_* / modifie_* depuis ICurrentUser et IHorloge, transforme un Remove en suppression logique, et écrit une ligne commun.historique par champ modifié avec l'empreinte sha256(empreinte_precedente + contenu) et un correlation_id par requête.</t>
        </is>
      </c>
      <c r="H14" s="5" t="inlineStr">
        <is>
          <t>tests d'intégration sur pg-test : création → audit rempli ; suppression → est_supprime = true et ligne invisible via le filtre global ; modification → lignes d'historique avec chaîne d'empreintes valide (recalcul) ; altérer une ligne en SQL direct est détecté par le vérificateur de chaîne.</t>
        </is>
      </c>
      <c r="I14" s="5" t="inlineStr"/>
      <c r="J14" s="5" t="inlineStr"/>
    </row>
    <row r="15">
      <c r="A15" s="4" t="n">
        <v>8</v>
      </c>
      <c r="B15" s="4" t="inlineStr">
        <is>
          <t>P1-T08</t>
        </is>
      </c>
      <c r="C15" s="5" t="inlineStr">
        <is>
          <t>Unit of Work et repositories de base</t>
        </is>
      </c>
      <c r="D15" s="4" t="inlineStr">
        <is>
          <t>sonnet</t>
        </is>
      </c>
      <c r="E15" s="4" t="inlineStr">
        <is>
          <t>P1-T06</t>
        </is>
      </c>
      <c r="F15" s="4" t="inlineStr">
        <is>
          <t>NON_FAIT</t>
        </is>
      </c>
      <c r="G15" s="5" t="inlineStr">
        <is>
          <t>IUnitOfWork (CommitAsync, transaction explicite), classe de base interne RepositoryBase&lt;T&gt; (GetById, Ajouter, Supprimer logique, pagination), interfaces de repository par agrégat dans Repositories/ (exposées via des interfaces consommées par les Services). Gestion de DbUpdateConcurrencyException → ConflitException.</t>
        </is>
      </c>
      <c r="H15" s="5" t="inlineStr">
        <is>
          <t>tests d'intégration : commit atomique (échec au milieu → rien n'est écrit) ; deux mises à jour concurrentes de la même ligne → ConflitException.</t>
        </is>
      </c>
      <c r="I15" s="5" t="inlineStr"/>
      <c r="J15" s="5" t="inlineStr"/>
    </row>
    <row r="16">
      <c r="A16" s="4" t="n">
        <v>9</v>
      </c>
      <c r="B16" s="4" t="inlineStr">
        <is>
          <t>P1-T09</t>
        </is>
      </c>
      <c r="C16" s="5" t="inlineStr">
        <is>
          <t>Socle API : DI, erreurs, OpenAPI, logs, santé</t>
        </is>
      </c>
      <c r="D16" s="4" t="inlineStr">
        <is>
          <t>sonnet</t>
        </is>
      </c>
      <c r="E16" s="4" t="inlineStr">
        <is>
          <t>P1-T08</t>
        </is>
      </c>
      <c r="F16" s="4" t="inlineStr">
        <is>
          <t>NON_FAIT</t>
        </is>
      </c>
      <c r="G16" s="5" t="inlineStr">
        <is>
          <t>Program.cs minimal ; méthodes d'extension d'enregistrement par couche (AddGpRepositories, AddGpServices, AddGpOrchestration…) ; middleware d'exceptions → ProblemDetails (400/403/404/409/500 sans fuite de détail en production) ; OpenAPI natif + Scalar en Development ; Serilog (console JSON) ; /health (live) et /health/ready (base) ; chaîne de connexion via configuration (ConnectionStrings:Gp), fournie en local par la variable d'environnement ConnectionStrings__Gp (base gprojet, définie dans .claude/settings.local.json) ; les tests n'utilisent jamais gprojet : instance jetable pg-test ou GP_TEST_CONNECTION, qui écrasent explicitement cette valeur.</t>
        </is>
      </c>
      <c r="H16" s="5" t="inlineStr">
        <is>
          <t>test d'intégration WebApplicationFactory : /health 200, /health/ready 200 sur pg-test, /openapi/v1.json 200, une IntrouvableException levée par un contrôleur de test → 404 au format application/problem+json ; dotnet run de l'API puis curl -s localhost:&lt;port&gt;/health/ready → 200 sur gprojet.</t>
        </is>
      </c>
      <c r="I16" s="5" t="inlineStr"/>
      <c r="J16" s="5" t="inlineStr">
        <is>
          <t>H-004 (REPONDUE)</t>
        </is>
      </c>
    </row>
    <row r="17">
      <c r="A17" s="4" t="n">
        <v>10</v>
      </c>
      <c r="B17" s="4" t="inlineStr">
        <is>
          <t>P1-T10</t>
        </is>
      </c>
      <c r="C17" s="5" t="inlineStr">
        <is>
          <t>Authentification de développement et utilisateur courant</t>
        </is>
      </c>
      <c r="D17" s="4" t="inlineStr">
        <is>
          <t>sonnet</t>
        </is>
      </c>
      <c r="E17" s="4" t="inlineStr">
        <is>
          <t>P1-T09</t>
        </is>
      </c>
      <c r="F17" s="4" t="inlineStr">
        <is>
          <t>NON_FAIT</t>
        </is>
      </c>
      <c r="G17" s="5" t="inlineStr">
        <is>
          <t>DevAuthHandler (schéma « Dev », actif uniquement en environnement Development/Test) qui lit l'en-tête X-Dev-Matricule, charge l'agent et ses rôles déduits (responsable d'entité, délégation active) ; implémentation ICurrentUser. Keycloak le remplacera en P18.</t>
        </is>
      </c>
      <c r="H17" s="5" t="inlineStr">
        <is>
          <t>tests d'intégration : sans en-tête → 401 ; matricule inconnu → 401 ; matricule valide → 200 et ICurrentUser renseigné ; en environnement Production le schéma « Dev » n'est pas enregistré.</t>
        </is>
      </c>
      <c r="I17" s="5" t="inlineStr"/>
      <c r="J17" s="5" t="inlineStr"/>
    </row>
    <row r="18">
      <c r="A18" s="4" t="n">
        <v>11</v>
      </c>
      <c r="B18" s="4" t="inlineStr">
        <is>
          <t>P1-T11</t>
        </is>
      </c>
      <c r="C18" s="5" t="inlineStr">
        <is>
          <t>Données de démonstration</t>
        </is>
      </c>
      <c r="D18" s="4" t="inlineStr">
        <is>
          <t>haiku</t>
        </is>
      </c>
      <c r="E18" s="4" t="inlineStr">
        <is>
          <t>P1-T06</t>
        </is>
      </c>
      <c r="F18" s="4" t="inlineStr">
        <is>
          <t>NON_FAIT</t>
        </is>
      </c>
      <c r="G18" s="5" t="inlineStr">
        <is>
          <t>database/04-donnees-demo.sql : 1 direction, 3 divisions, 6 services, 25 agents fictifs (responsables nommés, fonctions, compétences), 2 délégations, quelques absences, jours fériés de l'année. Uniquement des noms fictifs. Option --demo dans pg-test.py demarrer.</t>
        </is>
      </c>
      <c r="H18" s="5" t="inlineStr">
        <is>
          <t>python scripts/pg-test.py demarrer --demo puis requêtes de comptage : 10 entités, 25 agents, 10 responsables ; chaque service a un parent division (requête ltree).</t>
        </is>
      </c>
      <c r="I18" s="5" t="inlineStr"/>
      <c r="J18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8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8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P2 · Socle frontend Blazor WebAssembly et BFF</t>
        </is>
      </c>
    </row>
    <row r="2" ht="32" customHeight="1">
      <c r="A2" s="11" t="inlineStr">
        <is>
          <t>Objectif : projet unique Gprojet-Front servi par Gprojet-Backend (BFF intégré), charte et layout définitifs, couches front en place. Livrable : coquille navigable authentifiée (auth de dev).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P2-T01</t>
        </is>
      </c>
      <c r="C8" s="5" t="inlineStr">
        <is>
          <t>Projet Gprojet-Front, hébergement par le backend et tests bUnit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un seul projet front src/Gprojet-Front/Gprojet-Front.csproj (Microsoft.NET.Sdk.BlazorWebAssembly, RootNamespace Gprojet.Front) ; les DTO y sont des fichiers liés (&lt;Compile Include="..\Gprojet-Backend\Contracts\\*.cs" Link="Contracts\%(RecursiveDir)%(Filename)%(Extension)" /&gt;), jamais copiés ; Gprojet-Backend référence Gprojet-Front et le sert (UseBlazorFrameworkFiles, MapFallbackToFile("index.html"), paquet Microsoft.AspNetCore.Components.WebAssembly.Server) : même origine, pas de proxy ni de CORS ; tests tests/Gprojet-Front.Tests (bUnit). Arborescence des couches front : Api/, Services/, Models/, Pages/, Components/, Layouts/, State/, Auth/, Resources/, wwwroot/css/, wwwroot/fonts/, wwwroot/lib/, wwwroot/images/.</t>
        </is>
      </c>
      <c r="H8" s="5" t="inlineStr">
        <is>
          <t>dotnet build Gprojet.slnx OK et dotnet sln list affiche exactement 4 projets ; test d'intégration backend : GET / → 200 HTML contenant blazor.webassembly, GET /api/health → 200 ; un DTO de Gprojet-Backend/Contracts est utilisé dans le front (compilation) ; règle d'architecture : le front ne référence aucun autre code du backend.</t>
        </is>
      </c>
      <c r="I8" s="5" t="inlineStr"/>
      <c r="J8" s="5" t="inlineStr"/>
    </row>
    <row r="9">
      <c r="A9" s="4" t="n">
        <v>2</v>
      </c>
      <c r="B9" s="4" t="inlineStr">
        <is>
          <t>P2-T02</t>
        </is>
      </c>
      <c r="C9" s="5" t="inlineStr">
        <is>
          <t>Charte HCP : intégration de app.css et des ressources</t>
        </is>
      </c>
      <c r="D9" s="4" t="inlineStr">
        <is>
          <t>sonnet</t>
        </is>
      </c>
      <c r="E9" s="4" t="inlineStr">
        <is>
          <t>P2-T01</t>
        </is>
      </c>
      <c r="F9" s="4" t="inlineStr">
        <is>
          <t>NON_FAIT</t>
        </is>
      </c>
      <c r="G9" s="5" t="inlineStr">
        <is>
          <t>appliquer design/charte-hcp/README.md. Copier design/charte-hcp/app.css dans wwwroot/css/app.css sans autre modification que le remplacement de l'@import Google Fonts par un @font-face local (Geist, licence OFL, fichiers dans wwwroot/fonts/). Créer wwwroot/css/app.gp.css (chargé après) : variantes de texte accessibles (--success-text, --warning-text, --danger-text, --info-text, --purple-text), badges des statuts GestionProjet (.status-badge.a-faire, .a-valider, .bloque, .valide…), classes manquantes, le tout à partir des variables de la charte. Auto-héberger Font Awesome Free 6 et Chart.js dans wwwroot/lib/ ; logo HCP dans wwwroot/images/. docs/DESIGN.md : renvoi vers la charte et inventaire des classes utilisées / ajoutées.</t>
        </is>
      </c>
      <c r="H9" s="5" t="inlineStr">
        <is>
          <t>un script compare design/charte-hcp/app.css et wwwroot/css/app.css : seule la ligne @import diffère ; grep -rE "https?://" src/Gprojet-Front/wwwroot/index.html src/Gprojet-Front/wwwroot/css ne renvoie rien (aucune ressource externe) ; aucune couleur hexadécimale dans Pages/, Components/, Layouts/ ni dans app.gp.css hors des 5 variables de texte documentées ; contraste de chaque variable de texte ≥ 4,5:1 (calcul dans un test).</t>
        </is>
      </c>
      <c r="I9" s="5" t="inlineStr"/>
      <c r="J9" s="5" t="inlineStr">
        <is>
          <t>H-014 (REPONDUE)</t>
        </is>
      </c>
    </row>
    <row r="10">
      <c r="A10" s="4" t="n">
        <v>3</v>
      </c>
      <c r="B10" s="4" t="inlineStr">
        <is>
          <t>P2-T03</t>
        </is>
      </c>
      <c r="C10" s="5" t="inlineStr">
        <is>
          <t>Layout principal et navigation par rôle</t>
        </is>
      </c>
      <c r="D10" s="4" t="inlineStr">
        <is>
          <t>sonnet</t>
        </is>
      </c>
      <c r="E10" s="4" t="inlineStr">
        <is>
          <t>P2-T02</t>
        </is>
      </c>
      <c r="F10" s="4" t="inlineStr">
        <is>
          <t>NON_FAIT</t>
        </is>
      </c>
      <c r="G10" s="5" t="inlineStr">
        <is>
          <t>MainLayout identique à celui de la GED HCP : .page &gt; aside.sidebar (.sidebar-brand avec logo HCP, sections .nav-section-label, .nav-item avec icône et .nav-badge, pied .user-row) + .main-area &gt; .topbar (bouton de repli, .breadcrumb-nav, .search-box avec raccourci Ctrl+K, notifications) + .content-area. Menu construit selon les rôles / politiques (AuthorizeView) ; repli du menu et mode mobile (classes sidebar-collapsed, mobile-open dans app.gp.css).</t>
        </is>
      </c>
      <c r="H10" s="5" t="inlineStr">
        <is>
          <t>tests bUnit : le rendu contient .page .sidebar, .main-area .topbar et .content-area ; un agent ne voit pas l'entrée « Portefeuille direction », un directeur la voit ; l'action de repli ajoute sidebar-collapsed.</t>
        </is>
      </c>
      <c r="I10" s="5" t="inlineStr"/>
      <c r="J10" s="5" t="inlineStr"/>
    </row>
    <row r="11">
      <c r="A11" s="4" t="n">
        <v>4</v>
      </c>
      <c r="B11" s="4" t="inlineStr">
        <is>
          <t>P2-T04</t>
        </is>
      </c>
      <c r="C11" s="5" t="inlineStr">
        <is>
          <t>Mouvement selon la charte (motion-design)</t>
        </is>
      </c>
      <c r="D11" s="4" t="inlineStr">
        <is>
          <t>sonnet</t>
        </is>
      </c>
      <c r="E11" s="4" t="inlineStr">
        <is>
          <t>P2-T02</t>
        </is>
      </c>
      <c r="F11" s="4" t="inlineStr">
        <is>
          <t>NON_FAIT</t>
        </is>
      </c>
      <c r="G11" s="5" t="inlineStr">
        <is>
          <t>réutiliser uniquement les mouvements de la charte (0.15s ease pour les survols, fadeIn 0.25s / .animate-in pour les apparitions, 0.6s pour les barres de progression) ; motion-design sert à décider où les appliquer (apparition des pages et des listes, dialogues, repli du menu), pas à créer d'autres durées. Neutralisation complète sous prefers-reduced-motion: reduce dans app.gp.css. Documenter dans docs/DESIGN.md.</t>
        </is>
      </c>
      <c r="H11" s="5" t="inlineStr">
        <is>
          <t>app.gp.css contient un bloc @media (prefers-reduced-motion: reduce) qui neutralise transition et animation ; aucune durée autre que 0.1s, 0.15s, 0.25s, 0.6s dans les CSS du projet (grep) ; aucune bibliothèque JS d'animation ajoutée (git diff --stat sur wwwroot/lib vide).</t>
        </is>
      </c>
      <c r="I11" s="5" t="inlineStr"/>
      <c r="J11" s="5" t="inlineStr"/>
    </row>
    <row r="12">
      <c r="A12" s="4" t="n">
        <v>5</v>
      </c>
      <c r="B12" s="4" t="inlineStr">
        <is>
          <t>P2-T05</t>
        </is>
      </c>
      <c r="C12" s="5" t="inlineStr">
        <is>
          <t>Couche Api : clients HTTP typés</t>
        </is>
      </c>
      <c r="D12" s="4" t="inlineStr">
        <is>
          <t>sonnet</t>
        </is>
      </c>
      <c r="E12" s="4" t="inlineStr">
        <is>
          <t>P2-T01</t>
        </is>
      </c>
      <c r="F12" s="4" t="inlineStr">
        <is>
          <t>NON_FAIT</t>
        </is>
      </c>
      <c r="G12" s="5" t="inlineStr">
        <is>
          <t>ApiClientBase (sérialisation System.Text.Json, conversion ProblemDetails → ApiException typée avec erreurs de validation, annulation), enregistrement des clients via IHttpClientFactory en adresses relatives (même origine que le backend), premier client SanteApiClient.</t>
        </is>
      </c>
      <c r="H12" s="5" t="inlineStr">
        <is>
          <t>tests unitaires avec HttpMessageHandler simulé : 200 → DTO ; 400 problem+json → ApiException contenant les erreurs par champ ; 404 → ApiException.Statut == 404.</t>
        </is>
      </c>
      <c r="I12" s="5" t="inlineStr"/>
      <c r="J12" s="5" t="inlineStr"/>
    </row>
    <row r="13">
      <c r="A13" s="4" t="n">
        <v>6</v>
      </c>
      <c r="B13" s="4" t="inlineStr">
        <is>
          <t>P2-T06</t>
        </is>
      </c>
      <c r="C13" s="5" t="inlineStr">
        <is>
          <t>Authentification côté front (BFF, mode dev)</t>
        </is>
      </c>
      <c r="D13" s="4" t="inlineStr">
        <is>
          <t>sonnet</t>
        </is>
      </c>
      <c r="E13" s="4" t="inlineStr">
        <is>
          <t>P2-T05</t>
        </is>
      </c>
      <c r="F13" s="4" t="inlineStr">
        <is>
          <t>NON_FAIT</t>
        </is>
      </c>
      <c r="G13" s="5" t="inlineStr">
        <is>
          <t>endpoints BFF dans Gprojet-Backend/Web/Auth/ : /bff/login (dev : choix d'un matricule de démo), /bff/logout, /bff/user ; cookie HttpOnly, Secure, SameSite=Strict ; jeton anti-CSRF exigé sur les appels mutants ; BffAuthenticationStateProvider côté WASM ; page de connexion de développement.</t>
        </is>
      </c>
      <c r="H13" s="5" t="inlineStr">
        <is>
          <t>tests d'intégration BFF : /bff/user sans cookie → 401 ; après login dev → 200 avec matricule ; POST /api/... sans en-tête anti-CSRF → 400/403 ; test bUnit de AuthorizeView avec le provider.</t>
        </is>
      </c>
      <c r="I13" s="5" t="inlineStr"/>
      <c r="J13" s="5" t="inlineStr"/>
    </row>
    <row r="14">
      <c r="A14" s="4" t="n">
        <v>7</v>
      </c>
      <c r="B14" s="4" t="inlineStr">
        <is>
          <t>P2-T07</t>
        </is>
      </c>
      <c r="C14" s="5" t="inlineStr">
        <is>
          <t>État partagé et services front de base</t>
        </is>
      </c>
      <c r="D14" s="4" t="inlineStr">
        <is>
          <t>sonnet</t>
        </is>
      </c>
      <c r="E14" s="4" t="inlineStr">
        <is>
          <t>P2-T06</t>
        </is>
      </c>
      <c r="F14" s="4" t="inlineStr">
        <is>
          <t>NON_FAIT</t>
        </is>
      </c>
      <c r="G14" s="5" t="inlineStr">
        <is>
          <t>State/UtilisateurCourantState, State/PerimetreState (entité, niveau, chemin), Services/NotificationUiService (snackbar), Services/ChargementService (indicateur global), gestion centralisée des ApiException (message utilisateur, journal console).</t>
        </is>
      </c>
      <c r="H14" s="5" t="inlineStr">
        <is>
          <t>tests bUnit : un composant abonné à PerimetreState se rafraîchit au changement ; une ApiException 403 affiche le message « Accès refusé » via le snackbar.</t>
        </is>
      </c>
      <c r="I14" s="5" t="inlineStr"/>
      <c r="J14" s="5" t="inlineStr"/>
    </row>
    <row r="15">
      <c r="A15" s="4" t="n">
        <v>8</v>
      </c>
      <c r="B15" s="4" t="inlineStr">
        <is>
          <t>P2-T08</t>
        </is>
      </c>
      <c r="C15" s="5" t="inlineStr">
        <is>
          <t>Internationalisation fr / en / ar (RTL)</t>
        </is>
      </c>
      <c r="D15" s="4" t="inlineStr">
        <is>
          <t>sonnet</t>
        </is>
      </c>
      <c r="E15" s="4" t="inlineStr">
        <is>
          <t>P2-T03</t>
        </is>
      </c>
      <c r="F15" s="4" t="inlineStr">
        <is>
          <t>NON_FAIT</t>
        </is>
      </c>
      <c r="G15" s="5" t="inlineStr">
        <is>
          <t>Resources/*.resx (fr par défaut, en, ar), sélecteur de langue persistant (cookie BFF), dir="rtl" sur &lt;html&gt; et règles RTL dans app.gp.css (menu latéral à droite) pour l'arabe, formats de date et de nombre selon la culture.</t>
        </is>
      </c>
      <c r="H15" s="5" t="inlineStr">
        <is>
          <t>tests bUnit : en culture ar-MA le layout est rendu avec dir="rtl" ; un libellé du menu change selon la culture ; aucun texte en dur dans Layouts/ (contrôle : test qui échoue si une chaîne littérale française apparaît dans un .razor du layout).</t>
        </is>
      </c>
      <c r="I15" s="5" t="inlineStr"/>
      <c r="J15" s="5" t="inlineStr"/>
    </row>
    <row r="16">
      <c r="A16" s="4" t="n">
        <v>9</v>
      </c>
      <c r="B16" s="4" t="inlineStr">
        <is>
          <t>P2-T09</t>
        </is>
      </c>
      <c r="C16" s="5" t="inlineStr">
        <is>
          <t>Pages système</t>
        </is>
      </c>
      <c r="D16" s="4" t="inlineStr">
        <is>
          <t>haiku</t>
        </is>
      </c>
      <c r="E16" s="4" t="inlineStr">
        <is>
          <t>P2-T08</t>
        </is>
      </c>
      <c r="F16" s="4" t="inlineStr">
        <is>
          <t>NON_FAIT</t>
        </is>
      </c>
      <c r="G16" s="5" t="inlineStr">
        <is>
          <t>pages Accueil (placeholder du tableau de bord), 404, Accès refusé, Erreur inattendue (avec identifiant de corrélation), Chargement initial.</t>
        </is>
      </c>
      <c r="H16" s="5" t="inlineStr">
        <is>
          <t>tests bUnit : chaque page se rend sans exception et contient son titre traduit.</t>
        </is>
      </c>
      <c r="I16" s="5" t="inlineStr"/>
      <c r="J16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6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6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P3 · Conteneurisation et intégration continue GitHub Actions</t>
        </is>
      </c>
    </row>
    <row r="2" ht="32" customHeight="1">
      <c r="A2" s="11" t="inlineStr">
        <is>
          <t>Objectif : images Docker, environnement local complet par docker compose, intégration continue GitHub Actions sur le dépôt hajar-hamid-coder/gprojet. Livrable : docker compose up fonctionnel et .github/workflows/ci.yml. ⚠️ Nécessite Docker (hypothèse H-001).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P3-T01</t>
        </is>
      </c>
      <c r="C8" s="5" t="inlineStr">
        <is>
          <t>Dockerfile de l'application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deploy/docker/Dockerfile unique, multi-étapes, qui publie Gprojet-Backend (le front publié est servi par le backend) (sdk:10.0 → aspnet:10.0 chiseled ou alpine), utilisateur non-root, HEALTHCHECK, variables ASPNETCORE_*, pas de secret dans l'image ; .dockerignore.</t>
        </is>
      </c>
      <c r="H8" s="5" t="inlineStr">
        <is>
          <t>docker build -f deploy/docker/Dockerfile -t gprojet:test . réussit ; docker run --rm gprojet:test id -u ≠ 0 ; l'image contient le front (wwwroot/_framework) ; taille d'image affichée dans la preuve.</t>
        </is>
      </c>
      <c r="I8" s="5" t="inlineStr"/>
      <c r="J8" s="5" t="inlineStr">
        <is>
          <t>H-001 (REPONDUE, bloquante)</t>
        </is>
      </c>
    </row>
    <row r="9">
      <c r="A9" s="4" t="n">
        <v>2</v>
      </c>
      <c r="B9" s="4" t="inlineStr">
        <is>
          <t>P3-T02</t>
        </is>
      </c>
      <c r="C9" s="5" t="inlineStr">
        <is>
          <t>docker compose de développement</t>
        </is>
      </c>
      <c r="D9" s="4" t="inlineStr">
        <is>
          <t>sonnet</t>
        </is>
      </c>
      <c r="E9" s="4" t="inlineStr">
        <is>
          <t>P3-T01</t>
        </is>
      </c>
      <c r="F9" s="4" t="inlineStr">
        <is>
          <t>NON_FAIT</t>
        </is>
      </c>
      <c r="G9" s="5" t="inlineStr">
        <is>
          <t>deploy/docker-compose.yml : postgres:18 (volume, base vide), service migrations (bundle EF dotnet ef migrations bundle qui crée le schéma — pas les scripts SQL, pour rester aligné sur les migrations), app (image unique), profil keycloak (préparé pour P18), réseau dédié, dépendances sur la santé ; deploy/.env.example sans valeur sensible.</t>
        </is>
      </c>
      <c r="H9" s="5" t="inlineStr">
        <is>
          <t>docker compose -f deploy/docker-compose.yml up -d --wait puis curl -s http://localhost:8080/api/health → 200 et curl -s http://localhost:8080/ → HTML ; docker compose down -v propre.</t>
        </is>
      </c>
      <c r="I9" s="5" t="inlineStr"/>
      <c r="J9" s="5" t="inlineStr"/>
    </row>
    <row r="10">
      <c r="A10" s="4" t="n">
        <v>3</v>
      </c>
      <c r="B10" s="4" t="inlineStr">
        <is>
          <t>P3-T03</t>
        </is>
      </c>
      <c r="C10" s="5" t="inlineStr">
        <is>
          <t>Tests en CI avec PostgreSQL de service</t>
        </is>
      </c>
      <c r="D10" s="4" t="inlineStr">
        <is>
          <t>sonnet</t>
        </is>
      </c>
      <c r="E10" s="4" t="inlineStr">
        <is>
          <t>—</t>
        </is>
      </c>
      <c r="F10" s="4" t="inlineStr">
        <is>
          <t>NON_FAIT</t>
        </is>
      </c>
      <c r="G10" s="5" t="inlineStr">
        <is>
          <t>rendre les tests d'intégration indépendants de pg-test.py via la variable GP_TEST_CONNECTION (si définie : base fournie par la CI ; sinon : instance locale jetable). Fixture xUnit commune.</t>
        </is>
      </c>
      <c r="H10" s="5" t="inlineStr">
        <is>
          <t>dotnet test local (instance jetable) vert ; avec GP_TEST_CONNECTION pointant sur l'instance démarrée manuellement, les mêmes tests passent.</t>
        </is>
      </c>
      <c r="I10" s="5" t="inlineStr"/>
      <c r="J10" s="5" t="inlineStr"/>
    </row>
    <row r="11">
      <c r="A11" s="4" t="n">
        <v>4</v>
      </c>
      <c r="B11" s="4" t="inlineStr">
        <is>
          <t>P3-T04</t>
        </is>
      </c>
      <c r="C11" s="5" t="inlineStr">
        <is>
          <t>Workflow GitHub Actions</t>
        </is>
      </c>
      <c r="D11" s="4" t="inlineStr">
        <is>
          <t>sonnet</t>
        </is>
      </c>
      <c r="E11" s="4" t="inlineStr">
        <is>
          <t>P3-T01, P3-T03</t>
        </is>
      </c>
      <c r="F11" s="4" t="inlineStr">
        <is>
          <t>NON_FAIT</t>
        </is>
      </c>
      <c r="G11" s="5" t="inlineStr">
        <is>
          <t>.github/workflows/ci.yml déclenché sur push et pull request : jobs build, test (service postgres:18, GP_TEST_CONNECTION, rapport de tests et couverture publiés comme artefacts), qualite (dotnet format --verify-no-changes), securite (CodeQL C#, dependency-review sur les pull requests, scan d'image Trivy), paquet (build et push de l'image vers GitHub Container Registry ghcr.io sur main et les tags, avec GITHUB_TOKEN), deploiement (workflow_dispatch + environnement protégé, préparé pour P13). Cache NuGet, versions d'actions épinglées. Vérifier que les modèles .github/ (faits en P1-T01) sont cohérents avec le workflow.</t>
        </is>
      </c>
      <c r="H11" s="5" t="inlineStr">
        <is>
          <t>python scripts/verifier-ci.py (à écrire, parse YAML) confirme les 6 jobs, leurs dépendances, le service PostgreSQL et l'absence de secret en clair ; les modèles .github/ sont présents. L'exécution réelle sur GitHub se constate après le push de l'utilisateur (signalé dans le bilan de phase).</t>
        </is>
      </c>
      <c r="I11" s="5" t="inlineStr"/>
      <c r="J11" s="5" t="inlineStr">
        <is>
          <t>H-002 (REPONDUE)</t>
        </is>
      </c>
    </row>
    <row r="12">
      <c r="A12" s="4" t="n">
        <v>5</v>
      </c>
      <c r="B12" s="4" t="inlineStr">
        <is>
          <t>P3-T05</t>
        </is>
      </c>
      <c r="C12" s="5" t="inlineStr">
        <is>
          <t>Documentation de déploiement local</t>
        </is>
      </c>
      <c r="D12" s="4" t="inlineStr">
        <is>
          <t>haiku</t>
        </is>
      </c>
      <c r="E12" s="4" t="inlineStr">
        <is>
          <t>P3-T02, P3-T04</t>
        </is>
      </c>
      <c r="F12" s="4" t="inlineStr">
        <is>
          <t>NON_FAIT</t>
        </is>
      </c>
      <c r="G12" s="5" t="inlineStr">
        <is>
          <t>docs/DEPLOIEMENT.md : prérequis, variables, démarrage compose, migrations, dépannage, description du workflow GitHub Actions, des secrets à créer (Settings → Secrets and variables → Actions) et de la publication d'image sur ghcr.io.</t>
        </is>
      </c>
      <c r="H12" s="5" t="inlineStr">
        <is>
          <t>le document contient les sections Prérequis, Démarrage, Variables, Pipeline, Dépannage ; chaque commande citée existe dans le dépôt.</t>
        </is>
      </c>
      <c r="I12" s="5" t="inlineStr"/>
      <c r="J12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2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2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P4 · Module Organisation et périmètre hiérarchique</t>
        </is>
      </c>
    </row>
    <row r="2" ht="32" customHeight="1">
      <c r="A2" s="11" t="inlineStr">
        <is>
          <t>Objectif : organigramme, agents, délégations, absences, et le service de périmètre sur lequel repose toute la sécurité des données. Livrable : module Organisation complet (API + pages).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P4-T01</t>
        </is>
      </c>
      <c r="C8" s="5" t="inlineStr">
        <is>
          <t>Service de périmètre et rôles déduits</t>
        </is>
      </c>
      <c r="D8" s="4" t="inlineStr">
        <is>
          <t>opus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PerimetreService : rôle hiérarchique déduit (directeur / chef de division / chef de service / agent) depuis l'entité dirigée et les délégations actives à la date du jour ; chemin ltree du périmètre ; IPerimetreCourant injectable ; extension IQueryable&lt;Projet&gt;.DansPerimetre() et équivalents Phase / Tâche / Ticket / Saisie (membre du projet inclus) ; politiques EstChef, EstDirecteur…</t>
        </is>
      </c>
      <c r="H8" s="5" t="inlineStr">
        <is>
          <t>tests unitaires et d'intégration (données de démo) : matrice de 12 cas (4 rôles × visibilité au-dessus / à côté / en dessous) ; délégation hors dates → aucun droit ; agent membre d'un projet d'un autre service → voit ce projet uniquement.</t>
        </is>
      </c>
      <c r="I8" s="5" t="inlineStr"/>
      <c r="J8" s="5" t="inlineStr"/>
    </row>
    <row r="9">
      <c r="A9" s="4" t="n">
        <v>2</v>
      </c>
      <c r="B9" s="4" t="inlineStr">
        <is>
          <t>P4-T02</t>
        </is>
      </c>
      <c r="C9" s="5" t="inlineStr">
        <is>
          <t>Organigramme : API</t>
        </is>
      </c>
      <c r="D9" s="4" t="inlineStr">
        <is>
          <t>sonnet</t>
        </is>
      </c>
      <c r="E9" s="4" t="inlineStr">
        <is>
          <t>P4-T01</t>
        </is>
      </c>
      <c r="F9" s="4" t="inlineStr">
        <is>
          <t>NON_FAIT</t>
        </is>
      </c>
      <c r="G9" s="5" t="inlineStr">
        <is>
          <t>cas d'usage complets (DTO, validateurs, orchestrateur, service, repository, contrôleur) : créer / modifier / désactiver une entité, déplacer une entité (recalcul du chemin de tout le sous-arbre en une requête), nommer un responsable. Règles : service → parent division, division → parent direction ; un agent ne dirige qu'une entité.</t>
        </is>
      </c>
      <c r="H9" s="5" t="inlineStr">
        <is>
          <t>tests d'intégration : déplacement d'une division → chemins de ses services et projets portés mis à jour ; service rattaché à une direction → 400 ; double responsabilité → 409.</t>
        </is>
      </c>
      <c r="I9" s="5" t="inlineStr"/>
      <c r="J9" s="5" t="inlineStr"/>
    </row>
    <row r="10">
      <c r="A10" s="4" t="n">
        <v>3</v>
      </c>
      <c r="B10" s="4" t="inlineStr">
        <is>
          <t>P4-T03</t>
        </is>
      </c>
      <c r="C10" s="5" t="inlineStr">
        <is>
          <t>Agents, rattachements et compétences : API</t>
        </is>
      </c>
      <c r="D10" s="4" t="inlineStr">
        <is>
          <t>sonnet</t>
        </is>
      </c>
      <c r="E10" s="4" t="inlineStr">
        <is>
          <t>P4-T02</t>
        </is>
      </c>
      <c r="F10" s="4" t="inlineStr">
        <is>
          <t>NON_FAIT</t>
        </is>
      </c>
      <c r="G10" s="5" t="inlineStr">
        <is>
          <t>CRUD agents ; mutation (clôture du rattachement, ouverture du nouveau, mise à jour de entite_id) ; fonction ; compétences avec niveau ; recherche paginée (nom, matricule, entité, compétence).</t>
        </is>
      </c>
      <c r="H10" s="5" t="inlineStr">
        <is>
          <t>tests : mutation → 2 rattachements dont 1 ouvert ; tentative de second rattachement ouvert → refus ; recherche par compétence renvoie les bons agents.</t>
        </is>
      </c>
      <c r="I10" s="5" t="inlineStr"/>
      <c r="J10" s="5" t="inlineStr"/>
    </row>
    <row r="11">
      <c r="A11" s="4" t="n">
        <v>4</v>
      </c>
      <c r="B11" s="4" t="inlineStr">
        <is>
          <t>P4-T04</t>
        </is>
      </c>
      <c r="C11" s="5" t="inlineStr">
        <is>
          <t>Délégations, absences et calendrier : API</t>
        </is>
      </c>
      <c r="D11" s="4" t="inlineStr">
        <is>
          <t>sonnet</t>
        </is>
      </c>
      <c r="E11" s="4" t="inlineStr">
        <is>
          <t>P4-T01</t>
        </is>
      </c>
      <c r="F11" s="4" t="inlineStr">
        <is>
          <t>NON_FAIT</t>
        </is>
      </c>
      <c r="G11" s="5" t="inlineStr">
        <is>
          <t>délégations (période, droits, entité ; seul le responsable de l'entité délègue), absences (types, demi-journée), jours fériés ; service CalendrierService.JoursOuvres(agent, période) utilisé plus tard par le CPM et le plan de charge.</t>
        </is>
      </c>
      <c r="H11" s="5" t="inlineStr">
        <is>
          <t>tests : délégation active → le délégataire obtient PeutCreerProjet ; JoursOuvres exclut week-ends, fériés et absences (cas avec demi-journée = 0,5).</t>
        </is>
      </c>
      <c r="I11" s="5" t="inlineStr"/>
      <c r="J11" s="5" t="inlineStr"/>
    </row>
    <row r="12">
      <c r="A12" s="4" t="n">
        <v>5</v>
      </c>
      <c r="B12" s="4" t="inlineStr">
        <is>
          <t>P4-T05</t>
        </is>
      </c>
      <c r="C12" s="5" t="inlineStr">
        <is>
          <t>Pages organigramme</t>
        </is>
      </c>
      <c r="D12" s="4" t="inlineStr">
        <is>
          <t>sonnet</t>
        </is>
      </c>
      <c r="E12" s="4" t="inlineStr">
        <is>
          <t>P4-T02</t>
        </is>
      </c>
      <c r="F12" s="4" t="inlineStr">
        <is>
          <t>NON_FAIT</t>
        </is>
      </c>
      <c r="G12" s="5" t="inlineStr">
        <is>
          <t>arbre interactif (composant maison ArbreOrganisation au style de la charte) avec responsable et effectif, fiche entité (membres, projets portés), formulaires création / déplacement / nomination ; écrans selon la charte HCP (design/charte-hcp/README.md).</t>
        </is>
      </c>
      <c r="H12" s="5" t="inlineStr">
        <is>
          <t>tests bUnit : l'arbre affiche 3 niveaux à partir de données simulées ; le formulaire refuse un parent incohérent (message de validation partagé) ; les actions sont masquées pour un agent.</t>
        </is>
      </c>
      <c r="I12" s="5" t="inlineStr"/>
      <c r="J12" s="5" t="inlineStr"/>
    </row>
    <row r="13">
      <c r="A13" s="4" t="n">
        <v>6</v>
      </c>
      <c r="B13" s="4" t="inlineStr">
        <is>
          <t>P4-T06</t>
        </is>
      </c>
      <c r="C13" s="5" t="inlineStr">
        <is>
          <t>Pages agents</t>
        </is>
      </c>
      <c r="D13" s="4" t="inlineStr">
        <is>
          <t>sonnet</t>
        </is>
      </c>
      <c r="E13" s="4" t="inlineStr">
        <is>
          <t>P4-T03</t>
        </is>
      </c>
      <c r="F13" s="4" t="inlineStr">
        <is>
          <t>NON_FAIT</t>
        </is>
      </c>
      <c r="G13" s="5" t="inlineStr">
        <is>
          <t>liste filtrable et paginée, fiche agent (rattachements, compétences, absences, projets), dialogue de mutation, édition des compétences.</t>
        </is>
      </c>
      <c r="H13" s="5" t="inlineStr">
        <is>
          <t>tests bUnit : filtre par entité ; dialogue de mutation → appel du service avec les bons paramètres ; affichage de l'historique des rattachements.</t>
        </is>
      </c>
      <c r="I13" s="5" t="inlineStr"/>
      <c r="J13" s="5" t="inlineStr"/>
    </row>
    <row r="14">
      <c r="A14" s="4" t="n">
        <v>7</v>
      </c>
      <c r="B14" s="4" t="inlineStr">
        <is>
          <t>P4-T07</t>
        </is>
      </c>
      <c r="C14" s="5" t="inlineStr">
        <is>
          <t>Pages délégations, absences et calendrier</t>
        </is>
      </c>
      <c r="D14" s="4" t="inlineStr">
        <is>
          <t>sonnet</t>
        </is>
      </c>
      <c r="E14" s="4" t="inlineStr">
        <is>
          <t>P4-T04</t>
        </is>
      </c>
      <c r="F14" s="4" t="inlineStr">
        <is>
          <t>NON_FAIT</t>
        </is>
      </c>
      <c r="G14" s="5" t="inlineStr">
        <is>
          <t>gestion des délégations par le chef (avec bandeau « vous agissez par délégation de … »), saisie des absences, calendrier des jours fériés (admin).</t>
        </is>
      </c>
      <c r="H14" s="5" t="inlineStr">
        <is>
          <t>tests bUnit : le bandeau de délégation apparaît quand l'utilisateur agit par délégation ; validation des dates (fin ≥ début).</t>
        </is>
      </c>
      <c r="I14" s="5" t="inlineStr"/>
      <c r="J14" s="5" t="inlineStr"/>
    </row>
    <row r="15">
      <c r="A15" s="4" t="n">
        <v>8</v>
      </c>
      <c r="B15" s="4" t="inlineStr">
        <is>
          <t>P4-T08</t>
        </is>
      </c>
      <c r="C15" s="5" t="inlineStr">
        <is>
          <t>Documentation fonctionnelle du module</t>
        </is>
      </c>
      <c r="D15" s="4" t="inlineStr">
        <is>
          <t>haiku</t>
        </is>
      </c>
      <c r="E15" s="4" t="inlineStr">
        <is>
          <t>P4-T05, P4-T06, P4-T07</t>
        </is>
      </c>
      <c r="F15" s="4" t="inlineStr">
        <is>
          <t>NON_FAIT</t>
        </is>
      </c>
      <c r="G15" s="5" t="inlineStr">
        <is>
          <t>docs/modules/organisation.md : règles métier, rôles et droits, endpoints (lien OpenAPI), écrans.</t>
        </is>
      </c>
      <c r="H15" s="5" t="inlineStr">
        <is>
          <t>le document liste chaque endpoint du module (comparaison automatique avec /openapi/v1.json via un petit script ou test).</t>
        </is>
      </c>
      <c r="I15" s="5" t="inlineStr"/>
      <c r="J15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5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5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P5 · Projets et affectation en cascade</t>
        </is>
      </c>
    </row>
    <row r="2" ht="32" customHeight="1">
      <c r="A2" s="11" t="inlineStr">
        <is>
          <t>Objectif : création réservée aux chefs, cascade Directeur → Division → Service → Personnel, portefeuille filtré. Livrable : module Projets complet et étanche entre périmètres.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opus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P5-T01</t>
        </is>
      </c>
      <c r="C8" s="5" t="inlineStr">
        <is>
          <t>Référentiels : types de projet et modèles de phases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API + pages d'administration des types de projet et de leurs modèles de phases (ordre, critères, mode d'enchaînement).</t>
        </is>
      </c>
      <c r="H8" s="5" t="inlineStr">
        <is>
          <t>tests : réordonnancement des modèles de phases sans trou ni doublon ; suppression d'un type utilisé → 409.</t>
        </is>
      </c>
      <c r="I8" s="5" t="inlineStr"/>
      <c r="J8" s="5" t="inlineStr"/>
    </row>
    <row r="9">
      <c r="A9" s="4" t="n">
        <v>2</v>
      </c>
      <c r="B9" s="4" t="inlineStr">
        <is>
          <t>P5-T02</t>
        </is>
      </c>
      <c r="C9" s="5" t="inlineStr">
        <is>
          <t>Création de projet</t>
        </is>
      </c>
      <c r="D9" s="4" t="inlineStr">
        <is>
          <t>opus</t>
        </is>
      </c>
      <c r="E9" s="4" t="inlineStr">
        <is>
          <t>P5-T01</t>
        </is>
      </c>
      <c r="F9" s="4" t="inlineStr">
        <is>
          <t>NON_FAIT</t>
        </is>
      </c>
      <c r="G9" s="5" t="inlineStr">
        <is>
          <t>réservée aux chefs et délégataires ; code PRJ-AAAA-NNNN sans collision en concurrence (séquence annuelle) ; entité créatrice, chemin initial ; instanciation des phases depuis le modèle du type ; statut BROUILLON → EN_AFFECTATION (direction / division) ou EN_COURS (service).</t>
        </is>
      </c>
      <c r="H9" s="5" t="inlineStr">
        <is>
          <t>tests : un agent → 403 ; un chef de service → projet EN_COURS porté par son service ; 20 créations parallèles → 20 codes distincts ; les phases du modèle DEV sont créées (7).</t>
        </is>
      </c>
      <c r="I9" s="5" t="inlineStr"/>
      <c r="J9" s="5" t="inlineStr"/>
    </row>
    <row r="10">
      <c r="A10" s="4" t="n">
        <v>3</v>
      </c>
      <c r="B10" s="4" t="inlineStr">
        <is>
          <t>P5-T03</t>
        </is>
      </c>
      <c r="C10" s="5" t="inlineStr">
        <is>
          <t>Affectation en cascade</t>
        </is>
      </c>
      <c r="D10" s="4" t="inlineStr">
        <is>
          <t>opus</t>
        </is>
      </c>
      <c r="E10" s="4" t="inlineStr">
        <is>
          <t>P5-T02</t>
        </is>
      </c>
      <c r="F10" s="4" t="inlineStr">
        <is>
          <t>NON_FAIT</t>
        </is>
      </c>
      <c r="G10" s="5" t="inlineStr">
        <is>
          <t>affecter (cible = enfant direct de la source), accepter (met à jour entité porteuse + chemin), renvoyer (motif obligatoire, revient à l'émetteur), réaffecter, annuler ; chaîne precedente_id ; une seule affectation active ; événements de domaine pour notifications (consommés en P9) ; historique.</t>
        </is>
      </c>
      <c r="H10" s="5" t="inlineStr">
        <is>
          <t>tests couvrant chaque transition et chaque refus (cible non enfant, double affectation, renvoi sans motif, acteur hors périmètre) ; scénario complet directeur → division → service → acceptation : chemin final = chemin du service.</t>
        </is>
      </c>
      <c r="I10" s="5" t="inlineStr"/>
      <c r="J10" s="5" t="inlineStr"/>
    </row>
    <row r="11">
      <c r="A11" s="4" t="n">
        <v>4</v>
      </c>
      <c r="B11" s="4" t="inlineStr">
        <is>
          <t>P5-T04</t>
        </is>
      </c>
      <c r="C11" s="5" t="inlineStr">
        <is>
          <t>Équipe projet</t>
        </is>
      </c>
      <c r="D11" s="4" t="inlineStr">
        <is>
          <t>sonnet</t>
        </is>
      </c>
      <c r="E11" s="4" t="inlineStr">
        <is>
          <t>P5-T03</t>
        </is>
      </c>
      <c r="F11" s="4" t="inlineStr">
        <is>
          <t>NON_FAIT</t>
        </is>
      </c>
      <c r="G11" s="5" t="inlineStr">
        <is>
          <t>le chef du service porteur ajoute / retire des membres (agents de son service, prestataires et observateurs autorisés), quotas, désignation du chef de projet.</t>
        </is>
      </c>
      <c r="H11" s="5" t="inlineStr">
        <is>
          <t>tests : agent d'un autre service → refus ; somme des quotas d'un agent sur ses projets &gt; 100 % → avertissement renvoyé (pas de blocage) ; chef de projet obligatoirement membre.</t>
        </is>
      </c>
      <c r="I11" s="5" t="inlineStr"/>
      <c r="J11" s="5" t="inlineStr"/>
    </row>
    <row r="12">
      <c r="A12" s="4" t="n">
        <v>5</v>
      </c>
      <c r="B12" s="4" t="inlineStr">
        <is>
          <t>P5-T05</t>
        </is>
      </c>
      <c r="C12" s="5" t="inlineStr">
        <is>
          <t>Jalons et registre RAID</t>
        </is>
      </c>
      <c r="D12" s="4" t="inlineStr">
        <is>
          <t>sonnet</t>
        </is>
      </c>
      <c r="E12" s="4" t="inlineStr">
        <is>
          <t>P5-T02</t>
        </is>
      </c>
      <c r="F12" s="4" t="inlineStr">
        <is>
          <t>NON_FAIT</t>
        </is>
      </c>
      <c r="G12" s="5" t="inlineStr">
        <is>
          <t>CRUD jalons (lien phase optionnel, retard calculé) et éléments RAID (criticité, responsable, échéance, statut).</t>
        </is>
      </c>
      <c r="H12" s="5" t="inlineStr">
        <is>
          <t>tests : un risque sans probabilité → 400 ; jalon dépassé non atteint → statut EN_RETARD calculé.</t>
        </is>
      </c>
      <c r="I12" s="5" t="inlineStr"/>
      <c r="J12" s="5" t="inlineStr"/>
    </row>
    <row r="13">
      <c r="A13" s="4" t="n">
        <v>6</v>
      </c>
      <c r="B13" s="4" t="inlineStr">
        <is>
          <t>P5-T06</t>
        </is>
      </c>
      <c r="C13" s="5" t="inlineStr">
        <is>
          <t>Politiques d'autorisation et tests anti-fuite</t>
        </is>
      </c>
      <c r="D13" s="4" t="inlineStr">
        <is>
          <t>opus</t>
        </is>
      </c>
      <c r="E13" s="4" t="inlineStr">
        <is>
          <t>P5-T03, P5-T04</t>
        </is>
      </c>
      <c r="F13" s="4" t="inlineStr">
        <is>
          <t>NON_FAIT</t>
        </is>
      </c>
      <c r="G13" s="5" t="inlineStr">
        <is>
          <t>politiques PeutCreerProjet, PeutAffecterDivision, PeutAffecterService, PeutGererEquipe, PeutVoirProjet appliquées à tous les contrôleurs Projets ; un projet hors périmètre renvoie 404 (pas 403, pour ne pas révéler son existence).</t>
        </is>
      </c>
      <c r="H13" s="5" t="inlineStr">
        <is>
          <t>suite de tests d'intégration paramétrée parcourant tous les endpoints Projets avec 4 profils : aucun accès hors périmètre (404), aucune liste ne contient de projet hors périmètre.</t>
        </is>
      </c>
      <c r="I13" s="5" t="inlineStr"/>
      <c r="J13" s="5" t="inlineStr"/>
    </row>
    <row r="14">
      <c r="A14" s="4" t="n">
        <v>7</v>
      </c>
      <c r="B14" s="4" t="inlineStr">
        <is>
          <t>P5-T07</t>
        </is>
      </c>
      <c r="C14" s="5" t="inlineStr">
        <is>
          <t>Pages portefeuille et création</t>
        </is>
      </c>
      <c r="D14" s="4" t="inlineStr">
        <is>
          <t>sonnet</t>
        </is>
      </c>
      <c r="E14" s="4" t="inlineStr">
        <is>
          <t>P5-T06</t>
        </is>
      </c>
      <c r="F14" s="4" t="inlineStr">
        <is>
          <t>NON_FAIT</t>
        </is>
      </c>
      <c r="G14" s="5" t="inlineStr">
        <is>
          <t>portefeuille (grille filtrable : statut, type, priorité, météo, entité), assistant de création en étapes, fiche projet à onglets (synthèse, phases, équipe, jalons, RAID, historique).</t>
        </is>
      </c>
      <c r="H14" s="5" t="inlineStr">
        <is>
          <t>tests bUnit : le bouton « Nouveau projet » est absent pour un agent ; l'assistant valide chaque étape avant la suivante.</t>
        </is>
      </c>
      <c r="I14" s="5" t="inlineStr"/>
      <c r="J14" s="5" t="inlineStr"/>
    </row>
    <row r="15">
      <c r="A15" s="4" t="n">
        <v>8</v>
      </c>
      <c r="B15" s="4" t="inlineStr">
        <is>
          <t>P5-T08</t>
        </is>
      </c>
      <c r="C15" s="5" t="inlineStr">
        <is>
          <t>Pages d'affectation</t>
        </is>
      </c>
      <c r="D15" s="4" t="inlineStr">
        <is>
          <t>sonnet</t>
        </is>
      </c>
      <c r="E15" s="4" t="inlineStr">
        <is>
          <t>P5-T07</t>
        </is>
      </c>
      <c r="F15" s="4" t="inlineStr">
        <is>
          <t>NON_FAIT</t>
        </is>
      </c>
      <c r="G15" s="5" t="inlineStr">
        <is>
          <t>file « Projets à affecter » par chef, dialogues affecter / accepter / renvoyer, frise de la chaîne d'affectation.</t>
        </is>
      </c>
      <c r="H15" s="5" t="inlineStr">
        <is>
          <t>tests bUnit : le renvoi exige un motif ; la frise affiche les étapes dans l'ordre chronologique.</t>
        </is>
      </c>
      <c r="I15" s="5" t="inlineStr"/>
      <c r="J15" s="5" t="inlineStr"/>
    </row>
    <row r="16">
      <c r="A16" s="4" t="n">
        <v>9</v>
      </c>
      <c r="B16" s="4" t="inlineStr">
        <is>
          <t>P5-T09</t>
        </is>
      </c>
      <c r="C16" s="5" t="inlineStr">
        <is>
          <t>Pages équipe, jalons, RAID</t>
        </is>
      </c>
      <c r="D16" s="4" t="inlineStr">
        <is>
          <t>sonnet</t>
        </is>
      </c>
      <c r="E16" s="4" t="inlineStr">
        <is>
          <t>P5-T07</t>
        </is>
      </c>
      <c r="F16" s="4" t="inlineStr">
        <is>
          <t>NON_FAIT</t>
        </is>
      </c>
      <c r="G16" s="5" t="inlineStr">
        <is>
          <t>onglets de la fiche projet : gestion de l'équipe, jalons, matrice des risques (probabilité × impact).</t>
        </is>
      </c>
      <c r="H16" s="5" t="inlineStr">
        <is>
          <t>tests bUnit : la matrice place un risque P4×I5 dans la bonne cellule ; seuls les membres du service sont proposés dans l'ajout d'équipe.</t>
        </is>
      </c>
      <c r="I16" s="5" t="inlineStr"/>
      <c r="J16" s="5" t="inlineStr"/>
    </row>
    <row r="17">
      <c r="A17" s="4" t="n">
        <v>10</v>
      </c>
      <c r="B17" s="4" t="inlineStr">
        <is>
          <t>P5-T10</t>
        </is>
      </c>
      <c r="C17" s="5" t="inlineStr">
        <is>
          <t>Tâches planifiées et alerte de non-affectation</t>
        </is>
      </c>
      <c r="D17" s="4" t="inlineStr">
        <is>
          <t>sonnet</t>
        </is>
      </c>
      <c r="E17" s="4" t="inlineStr">
        <is>
          <t>P5-T03</t>
        </is>
      </c>
      <c r="F17" s="4" t="inlineStr">
        <is>
          <t>NON_FAIT</t>
        </is>
      </c>
      <c r="G17" s="5" t="inlineStr">
        <is>
          <t>infrastructure de jobs (Quartz.NET, persistance PostgreSQL) dans Infrastructure/ ; job quotidien : projet en attente d'affectation au-delà de alerte.delai_affectation_jours → événement d'alerte au chef concerné.</t>
        </is>
      </c>
      <c r="H17" s="5" t="inlineStr">
        <is>
          <t>test avec IHorloge simulée : projet affecté il y a 6 jours (seuil 5) → 1 alerte ; 4 jours → 0.</t>
        </is>
      </c>
      <c r="I17" s="5" t="inlineStr"/>
      <c r="J17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7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7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P6 · Planification et ordonnancement</t>
        </is>
      </c>
    </row>
    <row r="2" ht="32" customHeight="1">
      <c r="A2" s="11" t="inlineStr">
        <is>
          <t>Objectif : phases, tâches, tickets, workflows, dépendances, chemin critique. Livrable : planification complète avec Gantt et Kanban.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opus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P6-T01</t>
        </is>
      </c>
      <c r="C8" s="5" t="inlineStr">
        <is>
          <t>Workflows configurables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administration des workflows (statuts, catégories, couleurs, statut initial, transitions et rôles autorisés) ; service WorkflowService.PeutTransiter(element, vers, utilisateur).</t>
        </is>
      </c>
      <c r="H8" s="5" t="inlineStr">
        <is>
          <t>tests : transition non déclarée → refus ; transition réservée CHEF_PROJET refusée à un membre ; un workflow sans statut TERMINE est invalide.</t>
        </is>
      </c>
      <c r="I8" s="5" t="inlineStr"/>
      <c r="J8" s="5" t="inlineStr"/>
    </row>
    <row r="9">
      <c r="A9" s="4" t="n">
        <v>2</v>
      </c>
      <c r="B9" s="4" t="inlineStr">
        <is>
          <t>P6-T02</t>
        </is>
      </c>
      <c r="C9" s="5" t="inlineStr">
        <is>
          <t>Phases : gestion et ordre</t>
        </is>
      </c>
      <c r="D9" s="4" t="inlineStr">
        <is>
          <t>sonnet</t>
        </is>
      </c>
      <c r="E9" s="4" t="inlineStr">
        <is>
          <t>P6-T01</t>
        </is>
      </c>
      <c r="F9" s="4" t="inlineStr">
        <is>
          <t>NON_FAIT</t>
        </is>
      </c>
      <c r="G9" s="5" t="inlineStr">
        <is>
          <t>CRUD phases, réordonnancement transactionnel sans trou, mode d'enchaînement, critères, livrables.</t>
        </is>
      </c>
      <c r="H9" s="5" t="inlineStr">
        <is>
          <t>tests : déplacer la phase 4 en position 2 → ordres 1..n continus ; mode CHEVAUCHEMENT sans pourcentage → 400.</t>
        </is>
      </c>
      <c r="I9" s="5" t="inlineStr"/>
      <c r="J9" s="5" t="inlineStr"/>
    </row>
    <row r="10">
      <c r="A10" s="4" t="n">
        <v>3</v>
      </c>
      <c r="B10" s="4" t="inlineStr">
        <is>
          <t>P6-T03</t>
        </is>
      </c>
      <c r="C10" s="5" t="inlineStr">
        <is>
          <t>Validation de fin de phase (gate)</t>
        </is>
      </c>
      <c r="D10" s="4" t="inlineStr">
        <is>
          <t>opus</t>
        </is>
      </c>
      <c r="E10" s="4" t="inlineStr">
        <is>
          <t>P6-T02</t>
        </is>
      </c>
      <c r="F10" s="4" t="inlineStr">
        <is>
          <t>NON_FAIT</t>
        </is>
      </c>
      <c r="G10" s="5" t="inlineStr">
        <is>
          <t>soumission d'une phase, circuit de validation multi-niveaux (chef de service puis chef de division selon paramétrage), rejet motivé → nouveau tour, règle de démarrage de N+1 selon le mode d'enchaînement.</t>
        </is>
      </c>
      <c r="H10" s="5" t="inlineStr">
        <is>
          <t>tests : N+1 ne démarre pas tant que N n'est pas validée (mode séquentiel) ; démarre à 60 % si chevauchement à 50 % ; rejet → tour 2 sans perdre le tour 1.</t>
        </is>
      </c>
      <c r="I10" s="5" t="inlineStr"/>
      <c r="J10" s="5" t="inlineStr"/>
    </row>
    <row r="11">
      <c r="A11" s="4" t="n">
        <v>4</v>
      </c>
      <c r="B11" s="4" t="inlineStr">
        <is>
          <t>P6-T04</t>
        </is>
      </c>
      <c r="C11" s="5" t="inlineStr">
        <is>
          <t>Tâches : gestion, WBS, estimation</t>
        </is>
      </c>
      <c r="D11" s="4" t="inlineStr">
        <is>
          <t>sonnet</t>
        </is>
      </c>
      <c r="E11" s="4" t="inlineStr">
        <is>
          <t>P6-T02</t>
        </is>
      </c>
      <c r="F11" s="4" t="inlineStr">
        <is>
          <t>NON_FAIT</t>
        </is>
      </c>
      <c r="G11" s="5" t="inlineStr">
        <is>
          <t>CRUD tâches, code WBS recalculé, ordre, mode d'exécution, responsable (membre du projet), estimation à trois points (PERT : (O + 4M + P) / 6), récurrence.</t>
        </is>
      </c>
      <c r="H11" s="5" t="inlineStr">
        <is>
          <t>tests : WBS « 2.3 » après déplacement ; estimation O=4, M=6, P=14 → 7 h ; responsable non membre → 400.</t>
        </is>
      </c>
      <c r="I11" s="5" t="inlineStr"/>
      <c r="J11" s="5" t="inlineStr"/>
    </row>
    <row r="12">
      <c r="A12" s="4" t="n">
        <v>5</v>
      </c>
      <c r="B12" s="4" t="inlineStr">
        <is>
          <t>P6-T05</t>
        </is>
      </c>
      <c r="C12" s="5" t="inlineStr">
        <is>
          <t>Dépendances, cycles et contrôle de démarrage</t>
        </is>
      </c>
      <c r="D12" s="4" t="inlineStr">
        <is>
          <t>opus</t>
        </is>
      </c>
      <c r="E12" s="4" t="inlineStr">
        <is>
          <t>P6-T04</t>
        </is>
      </c>
      <c r="F12" s="4" t="inlineStr">
        <is>
          <t>NON_FAIT</t>
        </is>
      </c>
      <c r="G12" s="5" t="inlineStr">
        <is>
          <t>dépendances FD / DD / FF / DF avec délai ; détection de cycle (parcours en profondeur sur le graphe du projet) ; démarrage d'une tâche : mode BLOQUANT → refus si prédécesseur non terminé ; mode SOUPLE → dérogation justifiée obligatoire.</t>
        </is>
      </c>
      <c r="H12" s="5" t="inlineStr">
        <is>
          <t>tests : A→B→C puis C→A → refus « cycle » ; démarrer B avant A en mode bloquant → refus ; en mode souple sans justification → 400, avec → OK et dérogation enregistrée.</t>
        </is>
      </c>
      <c r="I12" s="5" t="inlineStr"/>
      <c r="J12" s="5" t="inlineStr"/>
    </row>
    <row r="13">
      <c r="A13" s="4" t="n">
        <v>6</v>
      </c>
      <c r="B13" s="4" t="inlineStr">
        <is>
          <t>P6-T06</t>
        </is>
      </c>
      <c r="C13" s="5" t="inlineStr">
        <is>
          <t>Moteur de chemin critique (CPM)</t>
        </is>
      </c>
      <c r="D13" s="4" t="inlineStr">
        <is>
          <t>opus</t>
        </is>
      </c>
      <c r="E13" s="4" t="inlineStr">
        <is>
          <t>P6-T05</t>
        </is>
      </c>
      <c r="F13" s="4" t="inlineStr">
        <is>
          <t>NON_FAIT</t>
        </is>
      </c>
      <c r="G13" s="5" t="inlineStr">
        <is>
          <t>passes avant et arrière sur jours ouvrés (calendrier, fériés, absences du responsable, capacité), 4 types de liens et délais ; dates prévues, marges totale et libre, est_critique ; recalcul en cascade lors d'un glissement + alerte au chef de projet.</t>
        </is>
      </c>
      <c r="H13" s="5" t="inlineStr">
        <is>
          <t>tests sur 3 réseaux de référence avec résultats calculés à la main (dont un manuel de gestion de projet) : dates, marges et chemin critique exacts ; glissement de 3 jours d'une tâche critique → date de fin projet +3 jours ouvrés.</t>
        </is>
      </c>
      <c r="I13" s="5" t="inlineStr"/>
      <c r="J13" s="5" t="inlineStr"/>
    </row>
    <row r="14">
      <c r="A14" s="4" t="n">
        <v>7</v>
      </c>
      <c r="B14" s="4" t="inlineStr">
        <is>
          <t>P6-T07</t>
        </is>
      </c>
      <c r="C14" s="5" t="inlineStr">
        <is>
          <t>Tickets</t>
        </is>
      </c>
      <c r="D14" s="4" t="inlineStr">
        <is>
          <t>sonnet</t>
        </is>
      </c>
      <c r="E14" s="4" t="inlineStr">
        <is>
          <t>P6-T01, P6-T04</t>
        </is>
      </c>
      <c r="F14" s="4" t="inlineStr">
        <is>
          <t>NON_FAIT</t>
        </is>
      </c>
      <c r="G14" s="5" t="inlineStr">
        <is>
          <t>CRUD tickets, numérotation atomique (prochain_numero_ticket), types et workflows, rang, liens, tickets bloquants empêchant la clôture de la tâche.</t>
        </is>
      </c>
      <c r="H14" s="5" t="inlineStr">
        <is>
          <t>tests : 50 créations parallèles → numéros 1..50 sans trou ni doublon ; clôturer une tâche avec un ticket bloquant ouvert → 409.</t>
        </is>
      </c>
      <c r="I14" s="5" t="inlineStr"/>
      <c r="J14" s="5" t="inlineStr"/>
    </row>
    <row r="15">
      <c r="A15" s="4" t="n">
        <v>8</v>
      </c>
      <c r="B15" s="4" t="inlineStr">
        <is>
          <t>P6-T08</t>
        </is>
      </c>
      <c r="C15" s="5" t="inlineStr">
        <is>
          <t>Remontée d'avancement et de charge</t>
        </is>
      </c>
      <c r="D15" s="4" t="inlineStr">
        <is>
          <t>sonnet</t>
        </is>
      </c>
      <c r="E15" s="4" t="inlineStr">
        <is>
          <t>P6-T07</t>
        </is>
      </c>
      <c r="F15" s="4" t="inlineStr">
        <is>
          <t>NON_FAIT</t>
        </is>
      </c>
      <c r="G15" s="5" t="inlineStr">
        <is>
          <t>recalcul des caches ticket → tâche → phase → projet (charge estimée, reste à faire, avancement) à chaque modification, dans la même transaction.</t>
        </is>
      </c>
      <c r="H15" s="5" t="inlineStr">
        <is>
          <t>tests : passer un ticket en catégorie TERMINE met à jour l'avancement de la tâche, de la phase et du projet avec les valeurs attendues.</t>
        </is>
      </c>
      <c r="I15" s="5" t="inlineStr"/>
      <c r="J15" s="5" t="inlineStr"/>
    </row>
    <row r="16">
      <c r="A16" s="4" t="n">
        <v>9</v>
      </c>
      <c r="B16" s="4" t="inlineStr">
        <is>
          <t>P6-T09</t>
        </is>
      </c>
      <c r="C16" s="5" t="inlineStr">
        <is>
          <t>Baselines</t>
        </is>
      </c>
      <c r="D16" s="4" t="inlineStr">
        <is>
          <t>sonnet</t>
        </is>
      </c>
      <c r="E16" s="4" t="inlineStr">
        <is>
          <t>P6-T06</t>
        </is>
      </c>
      <c r="F16" s="4" t="inlineStr">
        <is>
          <t>NON_FAIT</t>
        </is>
      </c>
      <c r="G16" s="5" t="inlineStr">
        <is>
          <t>figer le planning (photo des dates et charges), comparer planifié / baseline / réel, écarts par tâche et par phase.</t>
        </is>
      </c>
      <c r="H16" s="5" t="inlineStr">
        <is>
          <t>tests : après glissement, la comparaison montre l'écart exact par tâche ; deux baselines coexistent.</t>
        </is>
      </c>
      <c r="I16" s="5" t="inlineStr"/>
      <c r="J16" s="5" t="inlineStr"/>
    </row>
    <row r="17">
      <c r="A17" s="4" t="n">
        <v>10</v>
      </c>
      <c r="B17" s="4" t="inlineStr">
        <is>
          <t>P6-T10</t>
        </is>
      </c>
      <c r="C17" s="5" t="inlineStr">
        <is>
          <t>Pages liste, Kanban et fiches</t>
        </is>
      </c>
      <c r="D17" s="4" t="inlineStr">
        <is>
          <t>sonnet</t>
        </is>
      </c>
      <c r="E17" s="4" t="inlineStr">
        <is>
          <t>P6-T08</t>
        </is>
      </c>
      <c r="F17" s="4" t="inlineStr">
        <is>
          <t>NON_FAIT</t>
        </is>
      </c>
      <c r="G17" s="5" t="inlineStr">
        <is>
          <t>vue liste hiérarchique (phase &gt; tâche &gt; ticket), Kanban des tickets par statut avec glisser-déposer respectant les transitions, fiches tâche et ticket, « Ma prochaine tâche » et « Mes tickets ».</t>
        </is>
      </c>
      <c r="H17" s="5" t="inlineStr">
        <is>
          <t>tests bUnit : un dépôt vers une colonne non autorisée est refusé visuellement et non envoyé ; « Ma prochaine tâche » affiche la tâche prête la plus prioritaire.</t>
        </is>
      </c>
      <c r="I17" s="5" t="inlineStr"/>
      <c r="J17" s="5" t="inlineStr"/>
    </row>
    <row r="18">
      <c r="A18" s="4" t="n">
        <v>11</v>
      </c>
      <c r="B18" s="4" t="inlineStr">
        <is>
          <t>P6-T11</t>
        </is>
      </c>
      <c r="C18" s="5" t="inlineStr">
        <is>
          <t>Gantt et réseau PERT</t>
        </is>
      </c>
      <c r="D18" s="4" t="inlineStr">
        <is>
          <t>opus</t>
        </is>
      </c>
      <c r="E18" s="4" t="inlineStr">
        <is>
          <t>P6-T06, P6-T10</t>
        </is>
      </c>
      <c r="F18" s="4" t="inlineStr">
        <is>
          <t>NON_FAIT</t>
        </is>
      </c>
      <c r="G18" s="5" t="inlineStr">
        <is>
          <t>composant Gantt (bibliothèque JS sous licence libre via JS Interop, choix consigné en hypothèse) : barres, dépendances, jalons, chemin critique en surbrillance, déplacement → recalcul ; vue PERT (graphe) ; accessibilité clavier minimale et alternative tabulaire.</t>
        </is>
      </c>
      <c r="H18" s="5" t="inlineStr">
        <is>
          <t>test bUnit de l'enveloppe (données transmises au module JS) ; test d'intégration : le déplacement envoie la bonne requête et le recalcul revient ; vérification manuelle décrite dans la preuve (capture).</t>
        </is>
      </c>
      <c r="I18" s="5" t="inlineStr"/>
      <c r="J18" s="5" t="inlineStr">
        <is>
          <t>H-005 (OUVERTE)</t>
        </is>
      </c>
    </row>
    <row r="19">
      <c r="A19" s="4" t="n">
        <v>12</v>
      </c>
      <c r="B19" s="4" t="inlineStr">
        <is>
          <t>P6-T12</t>
        </is>
      </c>
      <c r="C19" s="5" t="inlineStr">
        <is>
          <t>Documentation du module</t>
        </is>
      </c>
      <c r="D19" s="4" t="inlineStr">
        <is>
          <t>haiku</t>
        </is>
      </c>
      <c r="E19" s="4" t="inlineStr">
        <is>
          <t>P6-T11</t>
        </is>
      </c>
      <c r="F19" s="4" t="inlineStr">
        <is>
          <t>NON_FAIT</t>
        </is>
      </c>
      <c r="G19" s="5" t="inlineStr">
        <is>
          <t>docs/modules/planification.md : règles d'ordonnancement, modes, CPM (formules), workflows par défaut.</t>
        </is>
      </c>
      <c r="H19" s="5" t="inlineStr">
        <is>
          <t>le document contient les sections Ordonnancement, CPM, Workflows, Écrans et un exemple chiffré.</t>
        </is>
      </c>
      <c r="I19" s="5" t="inlineStr"/>
      <c r="J19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9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9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P7 · Coût en temps</t>
        </is>
      </c>
    </row>
    <row r="2" ht="32" customHeight="1">
      <c r="A2" s="11" t="inlineStr">
        <is>
          <t>Objectif : saisie, validation hiérarchique, prévu / consommé / reste à faire, plan de charge. Livrable : module Temps complet.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P7-T01</t>
        </is>
      </c>
      <c r="C8" s="5" t="inlineStr">
        <is>
          <t>Référentiels et paramètres du temps</t>
        </is>
      </c>
      <c r="D8" s="4" t="inlineStr">
        <is>
          <t>haiku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administration des catégories d'activité (projet / hors projet) et des paramètres (heures par jour, seuils).</t>
        </is>
      </c>
      <c r="H8" s="5" t="inlineStr">
        <is>
          <t>tests : désactiver une catégorie utilisée la masque à la saisie sans casser l'historique.</t>
        </is>
      </c>
      <c r="I8" s="5" t="inlineStr"/>
      <c r="J8" s="5" t="inlineStr"/>
    </row>
    <row r="9">
      <c r="A9" s="4" t="n">
        <v>2</v>
      </c>
      <c r="B9" s="4" t="inlineStr">
        <is>
          <t>P7-T02</t>
        </is>
      </c>
      <c r="C9" s="5" t="inlineStr">
        <is>
          <t>Feuilles de temps et saisies</t>
        </is>
      </c>
      <c r="D9" s="4" t="inlineStr">
        <is>
          <t>sonnet</t>
        </is>
      </c>
      <c r="E9" s="4" t="inlineStr">
        <is>
          <t>P7-T01</t>
        </is>
      </c>
      <c r="F9" s="4" t="inlineStr">
        <is>
          <t>NON_FAIT</t>
        </is>
      </c>
      <c r="G9" s="5" t="inlineStr">
        <is>
          <t>feuille hebdomadaire (créée à la demande), saisies avec règles : catégorie projet ⇒ tâche obligatoire, ticket appartenant à la tâche, total ≤ 24 h par jour, agent membre du projet, lecture seule si feuille validée ou verrouillée.</t>
        </is>
      </c>
      <c r="H9" s="5" t="inlineStr">
        <is>
          <t>tests pour chaque règle (cas nominal + refus) ; saisie hors projet acceptée sans tâche.</t>
        </is>
      </c>
      <c r="I9" s="5" t="inlineStr"/>
      <c r="J9" s="5" t="inlineStr"/>
    </row>
    <row r="10">
      <c r="A10" s="4" t="n">
        <v>3</v>
      </c>
      <c r="B10" s="4" t="inlineStr">
        <is>
          <t>P7-T03</t>
        </is>
      </c>
      <c r="C10" s="5" t="inlineStr">
        <is>
          <t>Chronomètre</t>
        </is>
      </c>
      <c r="D10" s="4" t="inlineStr">
        <is>
          <t>sonnet</t>
        </is>
      </c>
      <c r="E10" s="4" t="inlineStr">
        <is>
          <t>P7-T02</t>
        </is>
      </c>
      <c r="F10" s="4" t="inlineStr">
        <is>
          <t>NON_FAIT</t>
        </is>
      </c>
      <c r="G10" s="5" t="inlineStr">
        <is>
          <t>démarrer / arrêter un chronomètre depuis un ticket (un seul actif par agent), conversion en saisie arrondie au quart d'heure.</t>
        </is>
      </c>
      <c r="H10" s="5" t="inlineStr">
        <is>
          <t>tests : 1 h 08 → 1,25 h ; second chronomètre → arrêt automatique du premier.</t>
        </is>
      </c>
      <c r="I10" s="5" t="inlineStr"/>
      <c r="J10" s="5" t="inlineStr"/>
    </row>
    <row r="11">
      <c r="A11" s="4" t="n">
        <v>4</v>
      </c>
      <c r="B11" s="4" t="inlineStr">
        <is>
          <t>P7-T04</t>
        </is>
      </c>
      <c r="C11" s="5" t="inlineStr">
        <is>
          <t>Circuit de validation des temps</t>
        </is>
      </c>
      <c r="D11" s="4" t="inlineStr">
        <is>
          <t>opus</t>
        </is>
      </c>
      <c r="E11" s="4" t="inlineStr">
        <is>
          <t>P7-T02</t>
        </is>
      </c>
      <c r="F11" s="4" t="inlineStr">
        <is>
          <t>NON_FAIT</t>
        </is>
      </c>
      <c r="G11" s="5" t="inlineStr">
        <is>
          <t>soumettre, valider / rejeter (motif) par le chef du service de rattachement à la date de la semaine (historique des rattachements, délégations), verrouillage de période, consolidation par le chef de division.</t>
        </is>
      </c>
      <c r="H11" s="5" t="inlineStr">
        <is>
          <t>tests : agent muté en cours de mois → la semaine antérieure est validée par l'ancien chef ; rejet sans motif → 400 ; période verrouillée → modification refusée.</t>
        </is>
      </c>
      <c r="I11" s="5" t="inlineStr"/>
      <c r="J11" s="5" t="inlineStr"/>
    </row>
    <row r="12">
      <c r="A12" s="4" t="n">
        <v>5</v>
      </c>
      <c r="B12" s="4" t="inlineStr">
        <is>
          <t>P7-T05</t>
        </is>
      </c>
      <c r="C12" s="5" t="inlineStr">
        <is>
          <t>Prévu, consommé, reste à faire et alertes</t>
        </is>
      </c>
      <c r="D12" s="4" t="inlineStr">
        <is>
          <t>sonnet</t>
        </is>
      </c>
      <c r="E12" s="4" t="inlineStr">
        <is>
          <t>P7-T04</t>
        </is>
      </c>
      <c r="F12" s="4" t="inlineStr">
        <is>
          <t>NON_FAIT</t>
        </is>
      </c>
      <c r="G12" s="5" t="inlineStr">
        <is>
          <t>agrégation des temps validés en jours-homme par tâche / phase / projet, écarts (jours, %), reprévision de la date de fin selon la vélocité réelle, job d'alerte au-delà du seuil de charge consommée.</t>
        </is>
      </c>
      <c r="H12" s="5" t="inlineStr">
        <is>
          <t>tests chiffrés : estimé 10 j, consommé 8,5 j → 85 % → alerte (seuil 80) ; reprévision conforme à la formule documentée.</t>
        </is>
      </c>
      <c r="I12" s="5" t="inlineStr"/>
      <c r="J12" s="5" t="inlineStr"/>
    </row>
    <row r="13">
      <c r="A13" s="4" t="n">
        <v>6</v>
      </c>
      <c r="B13" s="4" t="inlineStr">
        <is>
          <t>P7-T06</t>
        </is>
      </c>
      <c r="C13" s="5" t="inlineStr">
        <is>
          <t>Plan de charge et taux d'occupation</t>
        </is>
      </c>
      <c r="D13" s="4" t="inlineStr">
        <is>
          <t>sonnet</t>
        </is>
      </c>
      <c r="E13" s="4" t="inlineStr">
        <is>
          <t>P7-T05</t>
        </is>
      </c>
      <c r="F13" s="4" t="inlineStr">
        <is>
          <t>NON_FAIT</t>
        </is>
      </c>
      <c r="G13" s="5" t="inlineStr">
        <is>
          <t>charge affectée vs capacité par agent, service, division, direction (jours ouvrés, absences, quotas) ; taux d'occupation incluant le hors-projet ; surcharge / sous-charge.</t>
        </is>
      </c>
      <c r="H13" s="5" t="inlineStr">
        <is>
          <t>tests chiffrés sur les données de démo : taux d'occupation d'un service = valeur calculée à la main dans le test.</t>
        </is>
      </c>
      <c r="I13" s="5" t="inlineStr"/>
      <c r="J13" s="5" t="inlineStr"/>
    </row>
    <row r="14">
      <c r="A14" s="4" t="n">
        <v>7</v>
      </c>
      <c r="B14" s="4" t="inlineStr">
        <is>
          <t>P7-T07</t>
        </is>
      </c>
      <c r="C14" s="5" t="inlineStr">
        <is>
          <t>Pages saisie, chronomètre et validation</t>
        </is>
      </c>
      <c r="D14" s="4" t="inlineStr">
        <is>
          <t>sonnet</t>
        </is>
      </c>
      <c r="E14" s="4" t="inlineStr">
        <is>
          <t>P7-T04</t>
        </is>
      </c>
      <c r="F14" s="4" t="inlineStr">
        <is>
          <t>NON_FAIT</t>
        </is>
      </c>
      <c r="G14" s="5" t="inlineStr">
        <is>
          <t>grille hebdomadaire (lignes tâches / tickets, colonnes jours, totaux), widget chronomètre dans la barre d'application, file de validation des chefs.</t>
        </is>
      </c>
      <c r="H14" s="5" t="inlineStr">
        <is>
          <t>tests bUnit : total journalier &gt; 24 h signalé avant envoi ; la file de validation n'affiche que les agents du périmètre.</t>
        </is>
      </c>
      <c r="I14" s="5" t="inlineStr"/>
      <c r="J14" s="5" t="inlineStr"/>
    </row>
    <row r="15">
      <c r="A15" s="4" t="n">
        <v>8</v>
      </c>
      <c r="B15" s="4" t="inlineStr">
        <is>
          <t>P7-T08</t>
        </is>
      </c>
      <c r="C15" s="5" t="inlineStr">
        <is>
          <t>Page plan de charge</t>
        </is>
      </c>
      <c r="D15" s="4" t="inlineStr">
        <is>
          <t>sonnet</t>
        </is>
      </c>
      <c r="E15" s="4" t="inlineStr">
        <is>
          <t>P7-T06</t>
        </is>
      </c>
      <c r="F15" s="4" t="inlineStr">
        <is>
          <t>NON_FAIT</t>
        </is>
      </c>
      <c r="G15" s="5" t="inlineStr">
        <is>
          <t>carte de chaleur agents × semaines (couleurs de surcharge du thème), filtres par entité et compétence.</t>
        </is>
      </c>
      <c r="H15" s="5" t="inlineStr">
        <is>
          <t>tests bUnit : une cellule à 120 % porte la classe « surcharge » ; filtre par compétence.</t>
        </is>
      </c>
      <c r="I15" s="5" t="inlineStr"/>
      <c r="J15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5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5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P8 · Reporting par niveau hiérarchique</t>
        </is>
      </c>
    </row>
    <row r="2" ht="32" customHeight="1">
      <c r="A2" s="11" t="inlineStr">
        <is>
          <t>Objectif : tableaux de bord Directeur / Division / Service / Agent avec drill-down et exports. Livrable : reporting complet, rapide et étanche.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P8-T01</t>
        </is>
      </c>
      <c r="C8" s="5" t="inlineStr">
        <is>
          <t>Requêtes de reporting</t>
        </is>
      </c>
      <c r="D8" s="4" t="inlineStr">
        <is>
          <t>opus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requêtes de lecture dédiées (projections ou SQL) filtrées par périmètre : synthèse portefeuille (statut, type, priorité, météo), comparatifs divisions / services, charges et écarts, retards, affectations en attente et délais d'affectation, validations en attente, jalons à 30/60/90 jours, risques et vulnérabilités critiques.</t>
        </is>
      </c>
      <c r="H8" s="5" t="inlineStr">
        <is>
          <t>tests chiffrés sur un jeu de données dédié (valeurs attendues écrites dans le test) ; un chef de division ne reçoit aucune ligne d'une autre division ; chaque requête &lt; 300 ms sur ce jeu (mesure dans le test).</t>
        </is>
      </c>
      <c r="I8" s="5" t="inlineStr"/>
      <c r="J8" s="5" t="inlineStr"/>
    </row>
    <row r="9">
      <c r="A9" s="4" t="n">
        <v>2</v>
      </c>
      <c r="B9" s="4" t="inlineStr">
        <is>
          <t>P8-T02</t>
        </is>
      </c>
      <c r="C9" s="5" t="inlineStr">
        <is>
          <t>Tableau de bord Directeur</t>
        </is>
      </c>
      <c r="D9" s="4" t="inlineStr">
        <is>
          <t>sonnet</t>
        </is>
      </c>
      <c r="E9" s="4" t="inlineStr">
        <is>
          <t>P8-T01</t>
        </is>
      </c>
      <c r="F9" s="4" t="inlineStr">
        <is>
          <t>NON_FAIT</t>
        </is>
      </c>
      <c r="G9" s="5" t="inlineStr">
        <is>
          <t>indicateurs de synthèse, comparatif des divisions (graphiques), projets non affectés, retards, validations en attente, jalons, risques ; cartes .stat-card, graphiques Chart.js aux couleurs de la charte, ergonomie via ui-ux-pro-max.</t>
        </is>
      </c>
      <c r="H9" s="5" t="inlineStr">
        <is>
          <t>tests bUnit : chaque widget gère les états vide / chargement / erreur ; les valeurs affichées correspondent au DTO fourni.</t>
        </is>
      </c>
      <c r="I9" s="5" t="inlineStr"/>
      <c r="J9" s="5" t="inlineStr"/>
    </row>
    <row r="10">
      <c r="A10" s="4" t="n">
        <v>3</v>
      </c>
      <c r="B10" s="4" t="inlineStr">
        <is>
          <t>P8-T03</t>
        </is>
      </c>
      <c r="C10" s="5" t="inlineStr">
        <is>
          <t>Tableau de bord Chef de division</t>
        </is>
      </c>
      <c r="D10" s="4" t="inlineStr">
        <is>
          <t>sonnet</t>
        </is>
      </c>
      <c r="E10" s="4" t="inlineStr">
        <is>
          <t>P8-T01</t>
        </is>
      </c>
      <c r="F10" s="4" t="inlineStr">
        <is>
          <t>NON_FAIT</t>
        </is>
      </c>
      <c r="G10" s="5" t="inlineStr">
        <is>
          <t>mêmes indicateurs sur la division, comparatif des services, projets à affecter, charge par service.</t>
        </is>
      </c>
      <c r="H10" s="5" t="inlineStr">
        <is>
          <t>tests bUnit analogues à P8-T02.</t>
        </is>
      </c>
      <c r="I10" s="5" t="inlineStr"/>
      <c r="J10" s="5" t="inlineStr"/>
    </row>
    <row r="11">
      <c r="A11" s="4" t="n">
        <v>4</v>
      </c>
      <c r="B11" s="4" t="inlineStr">
        <is>
          <t>P8-T04</t>
        </is>
      </c>
      <c r="C11" s="5" t="inlineStr">
        <is>
          <t>Tableau de bord Chef de service</t>
        </is>
      </c>
      <c r="D11" s="4" t="inlineStr">
        <is>
          <t>sonnet</t>
        </is>
      </c>
      <c r="E11" s="4" t="inlineStr">
        <is>
          <t>P8-T01</t>
        </is>
      </c>
      <c r="F11" s="4" t="inlineStr">
        <is>
          <t>NON_FAIT</t>
        </is>
      </c>
      <c r="G11" s="5" t="inlineStr">
        <is>
          <t>projets du service, équipes à constituer, charge par agent, feuilles à valider, tâches bloquées et critiques, tickets en retard.</t>
        </is>
      </c>
      <c r="H11" s="5" t="inlineStr">
        <is>
          <t>tests bUnit analogues à P8-T02.</t>
        </is>
      </c>
      <c r="I11" s="5" t="inlineStr"/>
      <c r="J11" s="5" t="inlineStr"/>
    </row>
    <row r="12">
      <c r="A12" s="4" t="n">
        <v>5</v>
      </c>
      <c r="B12" s="4" t="inlineStr">
        <is>
          <t>P8-T05</t>
        </is>
      </c>
      <c r="C12" s="5" t="inlineStr">
        <is>
          <t>Tableau de bord Agent</t>
        </is>
      </c>
      <c r="D12" s="4" t="inlineStr">
        <is>
          <t>sonnet</t>
        </is>
      </c>
      <c r="E12" s="4" t="inlineStr">
        <is>
          <t>P8-T01</t>
        </is>
      </c>
      <c r="F12" s="4" t="inlineStr">
        <is>
          <t>NON_FAIT</t>
        </is>
      </c>
      <c r="G12" s="5" t="inlineStr">
        <is>
          <t>ma prochaine tâche, mes tickets par priorité et ordre, temps de la semaine, échéances.</t>
        </is>
      </c>
      <c r="H12" s="5" t="inlineStr">
        <is>
          <t>tests bUnit analogues à P8-T02.</t>
        </is>
      </c>
      <c r="I12" s="5" t="inlineStr"/>
      <c r="J12" s="5" t="inlineStr"/>
    </row>
    <row r="13">
      <c r="A13" s="4" t="n">
        <v>6</v>
      </c>
      <c r="B13" s="4" t="inlineStr">
        <is>
          <t>P8-T06</t>
        </is>
      </c>
      <c r="C13" s="5" t="inlineStr">
        <is>
          <t>Navigation de drill-down</t>
        </is>
      </c>
      <c r="D13" s="4" t="inlineStr">
        <is>
          <t>sonnet</t>
        </is>
      </c>
      <c r="E13" s="4" t="inlineStr">
        <is>
          <t>P8-T02, P8-T03, P8-T04</t>
        </is>
      </c>
      <c r="F13" s="4" t="inlineStr">
        <is>
          <t>NON_FAIT</t>
        </is>
      </c>
      <c r="G13" s="5" t="inlineStr">
        <is>
          <t>composant fil d'Ariane Direction → Division → Service → Projet → Phase → Tâche → Ticket → Agent, conservation des filtres dans l'URL, retour arrière cohérent.</t>
        </is>
      </c>
      <c r="H13" s="5" t="inlineStr">
        <is>
          <t>tests bUnit : cliquer sur une division filtre le tableau de bord et ajoute un niveau au fil d'Ariane ; l'URL contient les filtres.</t>
        </is>
      </c>
      <c r="I13" s="5" t="inlineStr"/>
      <c r="J13" s="5" t="inlineStr"/>
    </row>
    <row r="14">
      <c r="A14" s="4" t="n">
        <v>7</v>
      </c>
      <c r="B14" s="4" t="inlineStr">
        <is>
          <t>P8-T07</t>
        </is>
      </c>
      <c r="C14" s="5" t="inlineStr">
        <is>
          <t>Exports Excel et PDF</t>
        </is>
      </c>
      <c r="D14" s="4" t="inlineStr">
        <is>
          <t>sonnet</t>
        </is>
      </c>
      <c r="E14" s="4" t="inlineStr">
        <is>
          <t>P8-T01</t>
        </is>
      </c>
      <c r="F14" s="4" t="inlineStr">
        <is>
          <t>NON_FAIT</t>
        </is>
      </c>
      <c r="G14" s="5" t="inlineStr">
        <is>
          <t>export Excel (bibliothèque libre) et PDF au format officiel (en-tête, logo de l'entité) des rapports standard ; choix des bibliothèques et licences consigné en hypothèse.</t>
        </is>
      </c>
      <c r="H14" s="5" t="inlineStr">
        <is>
          <t>tests : le fichier Excel contient les colonnes et le nombre de lignes attendus ; le PDF est lisible (extraction du texte contient le titre du rapport).</t>
        </is>
      </c>
      <c r="I14" s="5" t="inlineStr"/>
      <c r="J14" s="5" t="inlineStr">
        <is>
          <t>H-006 (OUVERTE)
H-007 (OUVERTE)</t>
        </is>
      </c>
    </row>
    <row r="15">
      <c r="A15" s="4" t="n">
        <v>8</v>
      </c>
      <c r="B15" s="4" t="inlineStr">
        <is>
          <t>P8-T08</t>
        </is>
      </c>
      <c r="C15" s="5" t="inlineStr">
        <is>
          <t>Rapports planifiés par e-mail</t>
        </is>
      </c>
      <c r="D15" s="4" t="inlineStr">
        <is>
          <t>sonnet</t>
        </is>
      </c>
      <c r="E15" s="4" t="inlineStr">
        <is>
          <t>P8-T07</t>
        </is>
      </c>
      <c r="F15" s="4" t="inlineStr">
        <is>
          <t>NON_FAIT</t>
        </is>
      </c>
      <c r="G15" s="5" t="inlineStr">
        <is>
          <t>job hebdomadaire / mensuel envoyant à chaque chef le rapport de son périmètre ; envoi SMTP via Infrastructure/ (en développement : dépôt dans un dossier de fichiers .eml).</t>
        </is>
      </c>
      <c r="H15" s="5" t="inlineStr">
        <is>
          <t>test : exécution du job en développement → un .eml par chef, contenant uniquement les projets de son périmètre.</t>
        </is>
      </c>
      <c r="I15" s="5" t="inlineStr"/>
      <c r="J15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5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5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P9 · Collaboration et services transverses</t>
        </is>
      </c>
    </row>
    <row r="2" ht="32" customHeight="1">
      <c r="A2" s="11" t="inlineStr">
        <is>
          <t>Objectif : commentaires, pièces jointes, notifications temps réel, historique consultable. Livrable : collaboration sur tout élément.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P9-T01</t>
        </is>
      </c>
      <c r="C8" s="5" t="inlineStr">
        <is>
          <t>Commentaires et mentions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commentaires polymorphes (projet, phase, tâche, ticket, diagramme…), fils de discussion, @mention d'un agent du projet, édition marquée, droits selon le périmètre de l'élément commenté.</t>
        </is>
      </c>
      <c r="H8" s="5" t="inlineStr">
        <is>
          <t>tests : commenter un ticket hors périmètre → 404 ; une mention crée un événement de notification ; un fil de 3 niveaux est restitué dans l'ordre.</t>
        </is>
      </c>
      <c r="I8" s="5" t="inlineStr"/>
      <c r="J8" s="5" t="inlineStr"/>
    </row>
    <row r="9">
      <c r="A9" s="4" t="n">
        <v>2</v>
      </c>
      <c r="B9" s="4" t="inlineStr">
        <is>
          <t>P9-T02</t>
        </is>
      </c>
      <c r="C9" s="5" t="inlineStr">
        <is>
          <t>Pièces jointes</t>
        </is>
      </c>
      <c r="D9" s="4" t="inlineStr">
        <is>
          <t>sonnet</t>
        </is>
      </c>
      <c r="E9" s="4" t="inlineStr">
        <is>
          <t>—</t>
        </is>
      </c>
      <c r="F9" s="4" t="inlineStr">
        <is>
          <t>NON_FAIT</t>
        </is>
      </c>
      <c r="G9" s="5" t="inlineStr">
        <is>
          <t>téléversement en flux (taille max et types autorisés paramétrés), stockage disque configurable hors racine web, empreinte SHA-256, téléchargement contrôlé par le périmètre ; point d'extension pour un antivirus (hypothèse).</t>
        </is>
      </c>
      <c r="H9" s="5" t="inlineStr">
        <is>
          <t>tests : fichier &gt; taille max → 413 ; extension interdite → 400 ; l'empreinte stockée correspond au fichier ; téléchargement hors périmètre → 404.</t>
        </is>
      </c>
      <c r="I9" s="5" t="inlineStr"/>
      <c r="J9" s="5" t="inlineStr">
        <is>
          <t>H-008 (OUVERTE)</t>
        </is>
      </c>
    </row>
    <row r="10">
      <c r="A10" s="4" t="n">
        <v>3</v>
      </c>
      <c r="B10" s="4" t="inlineStr">
        <is>
          <t>P9-T03</t>
        </is>
      </c>
      <c r="C10" s="5" t="inlineStr">
        <is>
          <t>Notifications temps réel</t>
        </is>
      </c>
      <c r="D10" s="4" t="inlineStr">
        <is>
          <t>sonnet</t>
        </is>
      </c>
      <c r="E10" s="4" t="inlineStr">
        <is>
          <t>P9-T01</t>
        </is>
      </c>
      <c r="F10" s="4" t="inlineStr">
        <is>
          <t>NON_FAIT</t>
        </is>
      </c>
      <c r="G10" s="5" t="inlineStr">
        <is>
          <t>consommation des événements de domaine (affectation, mention, validation, échéance…) → notifications en base, diffusion SignalR, centre de notifications côté front, préférences par type, résumé quotidien par e-mail.</t>
        </is>
      </c>
      <c r="H10" s="5" t="inlineStr">
        <is>
          <t>test d'intégration SignalR : une affectation provoque la réception du message par le client du chef ciblé et pas par un autre ; test bUnit du compteur non lu.</t>
        </is>
      </c>
      <c r="I10" s="5" t="inlineStr"/>
      <c r="J10" s="5" t="inlineStr"/>
    </row>
    <row r="11">
      <c r="A11" s="4" t="n">
        <v>4</v>
      </c>
      <c r="B11" s="4" t="inlineStr">
        <is>
          <t>P9-T04</t>
        </is>
      </c>
      <c r="C11" s="5" t="inlineStr">
        <is>
          <t>Abonnements (observateurs)</t>
        </is>
      </c>
      <c r="D11" s="4" t="inlineStr">
        <is>
          <t>sonnet</t>
        </is>
      </c>
      <c r="E11" s="4" t="inlineStr">
        <is>
          <t>P9-T03</t>
        </is>
      </c>
      <c r="F11" s="4" t="inlineStr">
        <is>
          <t>NON_FAIT</t>
        </is>
      </c>
      <c r="G11" s="5" t="inlineStr">
        <is>
          <t>nouvelle table commun.abonnement (migration + mise à jour du MLD), s'abonner / se désabonner d'un élément, notifications aux abonnés.</t>
        </is>
      </c>
      <c r="H11" s="5" t="inlineStr">
        <is>
          <t>python scripts/comparer-schema.py toujours à 0 écart après mise à jour de database/01-schema.sql ; un abonné reçoit la notification d'un changement de statut.</t>
        </is>
      </c>
      <c r="I11" s="5" t="inlineStr"/>
      <c r="J11" s="5" t="inlineStr"/>
    </row>
    <row r="12">
      <c r="A12" s="4" t="n">
        <v>5</v>
      </c>
      <c r="B12" s="4" t="inlineStr">
        <is>
          <t>P9-T05</t>
        </is>
      </c>
      <c r="C12" s="5" t="inlineStr">
        <is>
          <t>Historique et vérification d'intégrité</t>
        </is>
      </c>
      <c r="D12" s="4" t="inlineStr">
        <is>
          <t>sonnet</t>
        </is>
      </c>
      <c r="E12" s="4" t="inlineStr">
        <is>
          <t>—</t>
        </is>
      </c>
      <c r="F12" s="4" t="inlineStr">
        <is>
          <t>NON_FAIT</t>
        </is>
      </c>
      <c r="G12" s="5" t="inlineStr">
        <is>
          <t>frise d'historique par élément (qui, quoi, quand, avant / après), endpoint d'administration qui vérifie la chaîne d'empreintes et signale la première rupture.</t>
        </is>
      </c>
      <c r="H12" s="5" t="inlineStr">
        <is>
          <t>tests : la frise d'un ticket modifié 3 fois contient 3 entrées ; une altération SQL directe est détectée à la bonne ligne.</t>
        </is>
      </c>
      <c r="I12" s="5" t="inlineStr"/>
      <c r="J12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2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2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P10 · Modélisation et diagrammes</t>
        </is>
      </c>
    </row>
    <row r="2" ht="32" customHeight="1">
      <c r="A2" s="11" t="inlineStr">
        <is>
          <t>Objectif : métamodèle éditable, cohérence, transformation MCD → MLD → SQL, éditeurs de diagrammes. Livrable : module Modélisation, capable de reproduire le MLD de la plateforme.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opus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P10-T01</t>
        </is>
      </c>
      <c r="C8" s="5" t="inlineStr">
        <is>
          <t>API du métamodèle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CRUD modèles (versions), modules, entités, attributs, énumérations et valeurs, associations et pattes, index, méthodes et paramètres ; validations (noms techniques snake_case, rôle obligatoire sur une association réflexive, propriétaire unique d'un attribut).</t>
        </is>
      </c>
      <c r="H8" s="5" t="inlineStr">
        <is>
          <t>tests d'intégration couvrant chaque ressource et chaque règle de validation.</t>
        </is>
      </c>
      <c r="I8" s="5" t="inlineStr"/>
      <c r="J8" s="5" t="inlineStr"/>
    </row>
    <row r="9">
      <c r="A9" s="4" t="n">
        <v>2</v>
      </c>
      <c r="B9" s="4" t="inlineStr">
        <is>
          <t>P10-T02</t>
        </is>
      </c>
      <c r="C9" s="5" t="inlineStr">
        <is>
          <t>Contrôle de cohérence d'un modèle</t>
        </is>
      </c>
      <c r="D9" s="4" t="inlineStr">
        <is>
          <t>opus</t>
        </is>
      </c>
      <c r="E9" s="4" t="inlineStr">
        <is>
          <t>P10-T01</t>
        </is>
      </c>
      <c r="F9" s="4" t="inlineStr">
        <is>
          <t>NON_FAIT</t>
        </is>
      </c>
      <c r="G9" s="5" t="inlineStr">
        <is>
          <t>rapport de cohérence : entité sans identifiant, association à moins de 2 pattes, cardinalités manquantes, héritage cyclique, noms en conflit (table / colonne générée), attribut libellé absent, énumération vide.</t>
        </is>
      </c>
      <c r="H9" s="5" t="inlineStr">
        <is>
          <t>un modèle de test contenant volontairement 7 défauts → rapport listant exactement ces 7 défauts ; le modèle de la plateforme → 0 défaut.</t>
        </is>
      </c>
      <c r="I9" s="5" t="inlineStr"/>
      <c r="J9" s="5" t="inlineStr"/>
    </row>
    <row r="10">
      <c r="A10" s="4" t="n">
        <v>3</v>
      </c>
      <c r="B10" s="4" t="inlineStr">
        <is>
          <t>P10-T03</t>
        </is>
      </c>
      <c r="C10" s="5" t="inlineStr">
        <is>
          <t>Transformation MCD → MLD (règles R1 à R10)</t>
        </is>
      </c>
      <c r="D10" s="4" t="inlineStr">
        <is>
          <t>opus</t>
        </is>
      </c>
      <c r="E10" s="4" t="inlineStr">
        <is>
          <t>P10-T02</t>
        </is>
      </c>
      <c r="F10" s="4" t="inlineStr">
        <is>
          <t>NON_FAIT</t>
        </is>
      </c>
      <c r="G10" s="5" t="inlineStr">
        <is>
          <t>générer table_bd, colonne, cle_etrangere à partir du modèle selon R1…R10 (../Documentation/03-mcd.md §8), avec traçabilité vers la source et conservation des surcharges manuelles (est_surchargee) signalées en cas de conflit.</t>
        </is>
      </c>
      <c r="H10" s="5" t="inlineStr">
        <is>
          <t>un test par règle (10 tests minimum) avec MLD attendu explicite ; régénération après surcharge → surcharge conservée et conflit signalé.</t>
        </is>
      </c>
      <c r="I10" s="5" t="inlineStr"/>
      <c r="J10" s="5" t="inlineStr"/>
    </row>
    <row r="11">
      <c r="A11" s="4" t="n">
        <v>4</v>
      </c>
      <c r="B11" s="4" t="inlineStr">
        <is>
          <t>P10-T04</t>
        </is>
      </c>
      <c r="C11" s="5" t="inlineStr">
        <is>
          <t>Génération SQL (MPD) PostgreSQL</t>
        </is>
      </c>
      <c r="D11" s="4" t="inlineStr">
        <is>
          <t>opus</t>
        </is>
      </c>
      <c r="E11" s="4" t="inlineStr">
        <is>
          <t>P10-T03</t>
        </is>
      </c>
      <c r="F11" s="4" t="inlineStr">
        <is>
          <t>NON_FAIT</t>
        </is>
      </c>
      <c r="G11" s="5" t="inlineStr">
        <is>
          <t>produire le script DDL (schémas, tables, colonnes typées via correspondance_type, PK, FK, CHECK d'énumérations, index uniques partiels, colonnes techniques selon options) dans l'ordre des dépendances.</t>
        </is>
      </c>
      <c r="H11" s="5" t="inlineStr">
        <is>
          <t>le SQL généré pour un modèle de test s'exécute sans erreur sur l'instance pg-test ; idempotence textuelle (deux générations identiques).</t>
        </is>
      </c>
      <c r="I11" s="5" t="inlineStr"/>
      <c r="J11" s="5" t="inlineStr"/>
    </row>
    <row r="12">
      <c r="A12" s="4" t="n">
        <v>5</v>
      </c>
      <c r="B12" s="4" t="inlineStr">
        <is>
          <t>P10-T05</t>
        </is>
      </c>
      <c r="C12" s="5" t="inlineStr">
        <is>
          <t>Import / export et rétro-ingénierie</t>
        </is>
      </c>
      <c r="D12" s="4" t="inlineStr">
        <is>
          <t>opus</t>
        </is>
      </c>
      <c r="E12" s="4" t="inlineStr">
        <is>
          <t>P10-T04</t>
        </is>
      </c>
      <c r="F12" s="4" t="inlineStr">
        <is>
          <t>NON_FAIT</t>
        </is>
      </c>
      <c r="G12" s="5" t="inlineStr">
        <is>
          <t>export / import d'un modèle complet en JSON versionné ; rétro-ingénierie d'une base PostgreSQL existante (pg_catalog) → MLD → MCD (tables d'association reconnues comme associations N:N).</t>
        </is>
      </c>
      <c r="H12" s="5" t="inlineStr">
        <is>
          <t>aller-retour export → import → export identique ; rétro-ingénierie de la base de référence → 60 tables et associations N:N reconnues (entite_interface, etc.).</t>
        </is>
      </c>
      <c r="I12" s="5" t="inlineStr"/>
      <c r="J12" s="5" t="inlineStr"/>
    </row>
    <row r="13">
      <c r="A13" s="4" t="n">
        <v>6</v>
      </c>
      <c r="B13" s="4" t="inlineStr">
        <is>
          <t>P10-T06</t>
        </is>
      </c>
      <c r="C13" s="5" t="inlineStr">
        <is>
          <t>Dogfooding : la plateforme se décrit elle-même</t>
        </is>
      </c>
      <c r="D13" s="4" t="inlineStr">
        <is>
          <t>opus</t>
        </is>
      </c>
      <c r="E13" s="4" t="inlineStr">
        <is>
          <t>P10-T05</t>
        </is>
      </c>
      <c r="F13" s="4" t="inlineStr">
        <is>
          <t>NON_FAIT</t>
        </is>
      </c>
      <c r="G13" s="5" t="inlineStr">
        <is>
          <t>construire le modèle de la plateforme (par rétro-ingénierie puis ajustements : rôles, natures d'association, options), générer son SQL et le comparer à database/01-schema.sql avec scripts/comparer-schema.py. Consigner chaque écart irréductible.</t>
        </is>
      </c>
      <c r="H13" s="5" t="inlineStr">
        <is>
          <t>python scripts/comparer-schema.py --gauche database/01-schema.sql --droite &lt;sql généré&gt; → 0 écart, ou écarts listés et justifiés dans docs/modules/modelisation.md.</t>
        </is>
      </c>
      <c r="I13" s="5" t="inlineStr"/>
      <c r="J13" s="5" t="inlineStr"/>
    </row>
    <row r="14">
      <c r="A14" s="4" t="n">
        <v>7</v>
      </c>
      <c r="B14" s="4" t="inlineStr">
        <is>
          <t>P10-T07</t>
        </is>
      </c>
      <c r="C14" s="5" t="inlineStr">
        <is>
          <t>Éditeur visuel MCD / classes</t>
        </is>
      </c>
      <c r="D14" s="4" t="inlineStr">
        <is>
          <t>opus</t>
        </is>
      </c>
      <c r="E14" s="4" t="inlineStr">
        <is>
          <t>P10-T01</t>
        </is>
      </c>
      <c r="F14" s="4" t="inlineStr">
        <is>
          <t>NON_FAIT</t>
        </is>
      </c>
      <c r="G14" s="5" t="inlineStr">
        <is>
          <t>canevas de diagramme (bibliothèque JS libre via JS Interop, choix en hypothèse) synchronisé avec le modèle sémantique : création d'entités, attributs, associations et cardinalités, héritage ; positions stockées dans element_diagramme ; une même entité apparaît dans les vues MCD et classes.</t>
        </is>
      </c>
      <c r="H14" s="5" t="inlineStr">
        <is>
          <t>test bUnit de l'enveloppe et test d'intégration : créer une association dans l'éditeur crée les 2 pattes en base ; déplacer un élément ne modifie que sa position.</t>
        </is>
      </c>
      <c r="I14" s="5" t="inlineStr"/>
      <c r="J14" s="5" t="inlineStr">
        <is>
          <t>H-009 (OUVERTE)</t>
        </is>
      </c>
    </row>
    <row r="15">
      <c r="A15" s="4" t="n">
        <v>8</v>
      </c>
      <c r="B15" s="4" t="inlineStr">
        <is>
          <t>P10-T08</t>
        </is>
      </c>
      <c r="C15" s="5" t="inlineStr">
        <is>
          <t>Diagrammes documentaires</t>
        </is>
      </c>
      <c r="D15" s="4" t="inlineStr">
        <is>
          <t>sonnet</t>
        </is>
      </c>
      <c r="E15" s="4" t="inlineStr">
        <is>
          <t>P10-T01</t>
        </is>
      </c>
      <c r="F15" s="4" t="inlineStr">
        <is>
          <t>NON_FAIT</t>
        </is>
      </c>
      <c r="G15" s="5" t="inlineStr">
        <is>
          <t>séquence, cas d'utilisation, activité, états, composants, déploiement, C4 en texte (Mermaid / PlantUML) avec aperçu ; BPMN via éditeur dédié (licence à vérifier, hypothèse) ; liens vers exigences et tickets.</t>
        </is>
      </c>
      <c r="H15" s="5" t="inlineStr">
        <is>
          <t>tests bUnit : l'aperçu se met à jour au changement de texte ; un diagramme invalide affiche l'erreur de syntaxe sans casser la page.</t>
        </is>
      </c>
      <c r="I15" s="5" t="inlineStr"/>
      <c r="J15" s="5" t="inlineStr">
        <is>
          <t>H-010 (OUVERTE)</t>
        </is>
      </c>
    </row>
    <row r="16">
      <c r="A16" s="4" t="n">
        <v>9</v>
      </c>
      <c r="B16" s="4" t="inlineStr">
        <is>
          <t>P10-T09</t>
        </is>
      </c>
      <c r="C16" s="5" t="inlineStr">
        <is>
          <t>Versions, comparaison, validation et exports</t>
        </is>
      </c>
      <c r="D16" s="4" t="inlineStr">
        <is>
          <t>sonnet</t>
        </is>
      </c>
      <c r="E16" s="4" t="inlineStr">
        <is>
          <t>P10-T07, P10-T08</t>
        </is>
      </c>
      <c r="F16" s="4" t="inlineStr">
        <is>
          <t>NON_FAIT</t>
        </is>
      </c>
      <c r="G16" s="5" t="inlineStr">
        <is>
          <t>versionner modèles et diagrammes, comparer deux versions (ajouts / suppressions / modifications), circuit de validation (architecte, chef de projet), exports PNG / SVG / PDF.</t>
        </is>
      </c>
      <c r="H16" s="5" t="inlineStr">
        <is>
          <t>tests : la comparaison de deux versions liste exactement les changements ; un modèle FIGE refuse toute modification.</t>
        </is>
      </c>
      <c r="I16" s="5" t="inlineStr"/>
      <c r="J16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6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6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P11 · Générateur de code</t>
        </is>
      </c>
    </row>
    <row r="2" ht="32" customHeight="1">
      <c r="A2" s="11" t="inlineStr">
        <is>
          <t>Objectif : produire depuis le modèle un projet .NET/Blazor complet qui compile, conforme à l'architecture GP. Livrable : générateur Scriban + régénération incrémentale + dogfooding.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opus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P11-T01</t>
        </is>
      </c>
      <c r="C8" s="5" t="inlineStr">
        <is>
          <t>Moteur de génération Scriban</t>
        </is>
      </c>
      <c r="D8" s="4" t="inlineStr">
        <is>
          <t>opus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modèle de rendu (modules, entités, attributs typés C# / SQL, navigations, DTO, options), fonctions d'aide (PascalCase, camelCase, snake_case, pluriel français), portées ENTITE / MODULE / MODELE, résolution de chemin_sortie, templates par défaut embarqués et surchargeables en base.</t>
        </is>
      </c>
      <c r="H8" s="5" t="inlineStr">
        <is>
          <t>tests unitaires : rendu d'un template de test sur un modèle à 2 entités → sortie attendue exacte ; pluriels (« projet » → « projets », « travail » → « travaux » par table d'exceptions).</t>
        </is>
      </c>
      <c r="I8" s="5" t="inlineStr"/>
      <c r="J8" s="5" t="inlineStr"/>
    </row>
    <row r="9">
      <c r="A9" s="4" t="n">
        <v>2</v>
      </c>
      <c r="B9" s="4" t="inlineStr">
        <is>
          <t>P11-T02</t>
        </is>
      </c>
      <c r="C9" s="5" t="inlineStr">
        <is>
          <t>Templates backend</t>
        </is>
      </c>
      <c r="D9" s="4" t="inlineStr">
        <is>
          <t>opus</t>
        </is>
      </c>
      <c r="E9" s="4" t="inlineStr">
        <is>
          <t>P11-T01</t>
        </is>
      </c>
      <c r="F9" s="4" t="inlineStr">
        <is>
          <t>NON_FAIT</t>
        </is>
      </c>
      <c r="G9" s="5" t="inlineStr">
        <is>
          <t>templates Entité, configuration EF, DTO (lecture, création, modification, liste), validateurs, mapper Mapperly, repository, service, orchestrateur, contrôleur — en *.g.cs et classes partial, respectant les couches GP.</t>
        </is>
      </c>
      <c r="H9" s="5" t="inlineStr">
        <is>
          <t>génération pour un modèle d'exemple (3 entités, 1 N:N, 1 énumération) puis dotnet build du résultat → 0 erreur, 0 avertissement ; les tests d'architecture GP appliqués au projet généré passent.</t>
        </is>
      </c>
      <c r="I9" s="5" t="inlineStr"/>
      <c r="J9" s="5" t="inlineStr"/>
    </row>
    <row r="10">
      <c r="A10" s="4" t="n">
        <v>3</v>
      </c>
      <c r="B10" s="4" t="inlineStr">
        <is>
          <t>P11-T03</t>
        </is>
      </c>
      <c r="C10" s="5" t="inlineStr">
        <is>
          <t>Templates socle : solution, base, Docker, CI</t>
        </is>
      </c>
      <c r="D10" s="4" t="inlineStr">
        <is>
          <t>opus</t>
        </is>
      </c>
      <c r="E10" s="4" t="inlineStr">
        <is>
          <t>P11-T02</t>
        </is>
      </c>
      <c r="F10" s="4" t="inlineStr">
        <is>
          <t>NON_FAIT</t>
        </is>
      </c>
      <c r="G10" s="5" t="inlineStr">
        <is>
          <t>même structure que GestionProjet — deux projets &lt;Nom&gt;-Backend (couches en dossiers) et &lt;Nom&gt;-Front (+ tests et tests d'architecture) : .slnx, .csproj, Directory.Build.props, Program.cs, DbContext, migration initiale ou script SQL, Dockerfiles, docker-compose, .gitlab-ci.yml, README.</t>
        </is>
      </c>
      <c r="H10" s="5" t="inlineStr">
        <is>
          <t>le projet généré compile, sa migration s'applique sur pg-test, et son API répond 200 sur /health et sur un GET de liste.</t>
        </is>
      </c>
      <c r="I10" s="5" t="inlineStr"/>
      <c r="J10" s="5" t="inlineStr"/>
    </row>
    <row r="11">
      <c r="A11" s="4" t="n">
        <v>4</v>
      </c>
      <c r="B11" s="4" t="inlineStr">
        <is>
          <t>P11-T04</t>
        </is>
      </c>
      <c r="C11" s="5" t="inlineStr">
        <is>
          <t>Templates frontend</t>
        </is>
      </c>
      <c r="D11" s="4" t="inlineStr">
        <is>
          <t>sonnet</t>
        </is>
      </c>
      <c r="E11" s="4" t="inlineStr">
        <is>
          <t>P11-T03</t>
        </is>
      </c>
      <c r="F11" s="4" t="inlineStr">
        <is>
          <t>NON_FAIT</t>
        </is>
      </c>
      <c r="G11" s="5" t="inlineStr">
        <is>
          <t>clients Api, services front, modèles de formulaire, pages Liste / Détail / Formulaire au balisage de la charte HCP — .explorer-table, .form-group, .toolbar-btn — embarquée dans le socle généré (contrôles selon controle_ui, listes déroulantes pour les associations, validation partagée).</t>
        </is>
      </c>
      <c r="H11" s="5" t="inlineStr">
        <is>
          <t>le front généré compile ; test bUnit généré pour une page Liste passe.</t>
        </is>
      </c>
      <c r="I11" s="5" t="inlineStr"/>
      <c r="J11" s="5" t="inlineStr"/>
    </row>
    <row r="12">
      <c r="A12" s="4" t="n">
        <v>5</v>
      </c>
      <c r="B12" s="4" t="inlineStr">
        <is>
          <t>P11-T05</t>
        </is>
      </c>
      <c r="C12" s="5" t="inlineStr">
        <is>
          <t>Régénération incrémentale et prévisualisation</t>
        </is>
      </c>
      <c r="D12" s="4" t="inlineStr">
        <is>
          <t>opus</t>
        </is>
      </c>
      <c r="E12" s="4" t="inlineStr">
        <is>
          <t>P11-T04</t>
        </is>
      </c>
      <c r="F12" s="4" t="inlineStr">
        <is>
          <t>NON_FAIT</t>
        </is>
      </c>
      <c r="G12" s="5" t="inlineStr">
        <is>
          <t>régénérer sans toucher au code manuel (fichiers non .g.cs), détecter les conflits (fichier généré modifié à la main), prévisualiser le diff fichier par fichier avant écriture, rapport d'exécution.</t>
        </is>
      </c>
      <c r="H12" s="5" t="inlineStr">
        <is>
          <t>tests : ajout d'un attribut → seuls les .g.cs concernés changent ; un .g.cs modifié à la main est signalé et non écrasé sans confirmation.</t>
        </is>
      </c>
      <c r="I12" s="5" t="inlineStr"/>
      <c r="J12" s="5" t="inlineStr"/>
    </row>
    <row r="13">
      <c r="A13" s="4" t="n">
        <v>6</v>
      </c>
      <c r="B13" s="4" t="inlineStr">
        <is>
          <t>P11-T06</t>
        </is>
      </c>
      <c r="C13" s="5" t="inlineStr">
        <is>
          <t>Interface de génération et sortie ZIP</t>
        </is>
      </c>
      <c r="D13" s="4" t="inlineStr">
        <is>
          <t>sonnet</t>
        </is>
      </c>
      <c r="E13" s="4" t="inlineStr">
        <is>
          <t>P11-T05</t>
        </is>
      </c>
      <c r="F13" s="4" t="inlineStr">
        <is>
          <t>NON_FAIT</t>
        </is>
      </c>
      <c r="G13" s="5" t="inlineStr">
        <is>
          <t>pages configuration (stack, architecture, dépôt cible), lancement, prévisualisation, téléchargement ZIP, historique des exécutions ; personnalisation des templates par l'équipe.</t>
        </is>
      </c>
      <c r="H13" s="5" t="inlineStr">
        <is>
          <t>tests : le ZIP contient l'arborescence attendue ; l'historique enregistre version du modèle, nombre de fichiers et statut.</t>
        </is>
      </c>
      <c r="I13" s="5" t="inlineStr"/>
      <c r="J13" s="5" t="inlineStr"/>
    </row>
    <row r="14">
      <c r="A14" s="4" t="n">
        <v>7</v>
      </c>
      <c r="B14" s="4" t="inlineStr">
        <is>
          <t>P11-T07</t>
        </is>
      </c>
      <c r="C14" s="5" t="inlineStr">
        <is>
          <t>Dogfooding : générer le squelette de GestionProjet</t>
        </is>
      </c>
      <c r="D14" s="4" t="inlineStr">
        <is>
          <t>opus</t>
        </is>
      </c>
      <c r="E14" s="4" t="inlineStr">
        <is>
          <t>P11-T06</t>
        </is>
      </c>
      <c r="F14" s="4" t="inlineStr">
        <is>
          <t>NON_FAIT</t>
        </is>
      </c>
      <c r="G14" s="5" t="inlineStr">
        <is>
          <t>générer depuis le modèle de la plateforme (P10-T06) et comparer avec le code réel : structure à deux projets, entités, configurations EF, DTO. Rapport d'écarts et corrections des templates.</t>
        </is>
      </c>
      <c r="H14" s="5" t="inlineStr">
        <is>
          <t>le squelette généré compile ; docs/modules/generation.md contient le rapport d'écarts avec, pour chaque écart, la décision (corrigé / assumé).</t>
        </is>
      </c>
      <c r="I14" s="5" t="inlineStr"/>
      <c r="J14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4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4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P12 · Intégration GitLab</t>
        </is>
      </c>
    </row>
    <row r="2" ht="32" customHeight="1">
      <c r="A2" s="11" t="inlineStr">
        <is>
          <t>Objectif : relier projets, tickets et code GitLab. Livrable : traçabilité commit / MR / pipeline ↔ ticket. ⚠️ Instance GitLab requise (H-002).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P12-T01</t>
        </is>
      </c>
      <c r="C8" s="5" t="inlineStr">
        <is>
          <t>Client GitLab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client API v4 dans Infrastructure/ (jeton depuis la configuration sécurisée, pagination, gestion des limites de débit, erreurs) ; tests avec un serveur HTTP simulé.</t>
        </is>
      </c>
      <c r="H8" s="5" t="inlineStr">
        <is>
          <t>tests unitaires (WireMock.Net) : pagination sur 3 pages, 429 → nouvelle tentative, 401 → erreur explicite.</t>
        </is>
      </c>
      <c r="I8" s="5" t="inlineStr"/>
      <c r="J8" s="5" t="inlineStr">
        <is>
          <t>H-011 (OUVERTE)</t>
        </is>
      </c>
    </row>
    <row r="9">
      <c r="A9" s="4" t="n">
        <v>2</v>
      </c>
      <c r="B9" s="4" t="inlineStr">
        <is>
          <t>P12-T02</t>
        </is>
      </c>
      <c r="C9" s="5" t="inlineStr">
        <is>
          <t>Création et liaison des dépôts</t>
        </is>
      </c>
      <c r="D9" s="4" t="inlineStr">
        <is>
          <t>sonnet</t>
        </is>
      </c>
      <c r="E9" s="4" t="inlineStr">
        <is>
          <t>P12-T01</t>
        </is>
      </c>
      <c r="F9" s="4" t="inlineStr">
        <is>
          <t>NON_FAIT</t>
        </is>
      </c>
      <c r="G9" s="5" t="inlineStr">
        <is>
          <t>à la création d'un projet (option), création du groupe et des dépôts (backend, frontend, infra), branches protégées, modèles de MR ; liaison projet ↔ dépôts (nouvelle table + migration + MLD).</t>
        </is>
      </c>
      <c r="H9" s="5" t="inlineStr">
        <is>
          <t>tests avec serveur simulé : séquence d'appels attendue ; comparer-schema.py à 0 écart après mise à jour du schéma de référence.</t>
        </is>
      </c>
      <c r="I9" s="5" t="inlineStr"/>
      <c r="J9" s="5" t="inlineStr"/>
    </row>
    <row r="10">
      <c r="A10" s="4" t="n">
        <v>3</v>
      </c>
      <c r="B10" s="4" t="inlineStr">
        <is>
          <t>P12-T03</t>
        </is>
      </c>
      <c r="C10" s="5" t="inlineStr">
        <is>
          <t>Envoi du code généré vers GitLab</t>
        </is>
      </c>
      <c r="D10" s="4" t="inlineStr">
        <is>
          <t>sonnet</t>
        </is>
      </c>
      <c r="E10" s="4" t="inlineStr">
        <is>
          <t>P12-T02</t>
        </is>
      </c>
      <c r="F10" s="4" t="inlineStr">
        <is>
          <t>NON_FAIT</t>
        </is>
      </c>
      <c r="G10" s="5" t="inlineStr">
        <is>
          <t>pousser une génération sur une branche dédiée via l'API commits (actions create / update), puis ouvrir une MR.</t>
        </is>
      </c>
      <c r="H10" s="5" t="inlineStr">
        <is>
          <t>test avec serveur simulé : un seul commit contenant tous les fichiers, branche et MR créées.</t>
        </is>
      </c>
      <c r="I10" s="5" t="inlineStr"/>
      <c r="J10" s="5" t="inlineStr"/>
    </row>
    <row r="11">
      <c r="A11" s="4" t="n">
        <v>4</v>
      </c>
      <c r="B11" s="4" t="inlineStr">
        <is>
          <t>P12-T04</t>
        </is>
      </c>
      <c r="C11" s="5" t="inlineStr">
        <is>
          <t>Webhooks entrants</t>
        </is>
      </c>
      <c r="D11" s="4" t="inlineStr">
        <is>
          <t>sonnet</t>
        </is>
      </c>
      <c r="E11" s="4" t="inlineStr">
        <is>
          <t>P12-T01</t>
        </is>
      </c>
      <c r="F11" s="4" t="inlineStr">
        <is>
          <t>NON_FAIT</t>
        </is>
      </c>
      <c r="G11" s="5" t="inlineStr">
        <is>
          <t>réception push / MR / pipeline (jeton secret vérifié), rattachement par numéro de ticket dans branche, commit ou titre de MR ; transitions automatiques (MR ouverte → En revue, MR fusionnée → À tester) ; imputation « Time 2h ».</t>
        </is>
      </c>
      <c r="H11" s="5" t="inlineStr">
        <is>
          <t>tests : charge utile réelle d'exemple → lien créé et statut changé ; jeton invalide → 401 ; « Time 2h » → saisie de 2 h source GITLAB.</t>
        </is>
      </c>
      <c r="I11" s="5" t="inlineStr"/>
      <c r="J11" s="5" t="inlineStr"/>
    </row>
    <row r="12">
      <c r="A12" s="4" t="n">
        <v>5</v>
      </c>
      <c r="B12" s="4" t="inlineStr">
        <is>
          <t>P12-T05</t>
        </is>
      </c>
      <c r="C12" s="5" t="inlineStr">
        <is>
          <t>Vues GitLab dans les tickets</t>
        </is>
      </c>
      <c r="D12" s="4" t="inlineStr">
        <is>
          <t>sonnet</t>
        </is>
      </c>
      <c r="E12" s="4" t="inlineStr">
        <is>
          <t>P12-T04</t>
        </is>
      </c>
      <c r="F12" s="4" t="inlineStr">
        <is>
          <t>NON_FAIT</t>
        </is>
      </c>
      <c r="G12" s="5" t="inlineStr">
        <is>
          <t>onglet « Code » d'un ticket (branches, commits, MR, état du pipeline), bouton « Créer la branche » nommée feature/&lt;numéro&gt;-&lt;slug&gt;.</t>
        </is>
      </c>
      <c r="H12" s="5" t="inlineStr">
        <is>
          <t>tests bUnit : affichage des états de pipeline ; nom de branche généré conforme.</t>
        </is>
      </c>
      <c r="I12" s="5" t="inlineStr"/>
      <c r="J12" s="5" t="inlineStr"/>
    </row>
    <row r="13">
      <c r="A13" s="4" t="n">
        <v>6</v>
      </c>
      <c r="B13" s="4" t="inlineStr">
        <is>
          <t>P12-T06</t>
        </is>
      </c>
      <c r="C13" s="5" t="inlineStr">
        <is>
          <t>Releases et notes de version</t>
        </is>
      </c>
      <c r="D13" s="4" t="inlineStr">
        <is>
          <t>sonnet</t>
        </is>
      </c>
      <c r="E13" s="4" t="inlineStr">
        <is>
          <t>P12-T04</t>
        </is>
      </c>
      <c r="F13" s="4" t="inlineStr">
        <is>
          <t>NON_FAIT</t>
        </is>
      </c>
      <c r="G13" s="5" t="inlineStr">
        <is>
          <t>tags et releases liés aux phases, notes de version générées depuis les tickets fusionnés, correspondance milestones ↔ phases.</t>
        </is>
      </c>
      <c r="H13" s="5" t="inlineStr">
        <is>
          <t>test : les notes de version listent exactement les tickets fusionnés entre deux tags.</t>
        </is>
      </c>
      <c r="I13" s="5" t="inlineStr"/>
      <c r="J13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3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3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P13 · Déploiement Docker</t>
        </is>
      </c>
    </row>
    <row r="2" ht="32" customHeight="1">
      <c r="A2" s="11" t="inlineStr">
        <is>
          <t>Objectif : environnements, déploiements via pipeline, validation avant production, DORA. Livrable : module Déploiement.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P13-T01</t>
        </is>
      </c>
      <c r="C8" s="5" t="inlineStr">
        <is>
          <t>Environnements : modèle et API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tables environnement et deploiement (modélisées dans le module Modélisation, migration, MLD mis à jour) ; CRUD environnements (dev, recette, préprod, prod : URL, serveurs, responsable).</t>
        </is>
      </c>
      <c r="H8" s="5" t="inlineStr">
        <is>
          <t>comparer-schema.py à 0 écart ; tests CRUD.</t>
        </is>
      </c>
      <c r="I8" s="5" t="inlineStr"/>
      <c r="J8" s="5" t="inlineStr"/>
    </row>
    <row r="9">
      <c r="A9" s="4" t="n">
        <v>2</v>
      </c>
      <c r="B9" s="4" t="inlineStr">
        <is>
          <t>P13-T02</t>
        </is>
      </c>
      <c r="C9" s="5" t="inlineStr">
        <is>
          <t>Déclenchement des déploiements</t>
        </is>
      </c>
      <c r="D9" s="4" t="inlineStr">
        <is>
          <t>sonnet</t>
        </is>
      </c>
      <c r="E9" s="4" t="inlineStr">
        <is>
          <t>P13-T01</t>
        </is>
      </c>
      <c r="F9" s="4" t="inlineStr">
        <is>
          <t>NON_FAIT</t>
        </is>
      </c>
      <c r="G9" s="5" t="inlineStr">
        <is>
          <t>déclencher le job manuel du pipeline GitLab pour une version et un environnement, suivre son état, historique (qui, quand, version, tickets inclus).</t>
        </is>
      </c>
      <c r="H9" s="5" t="inlineStr">
        <is>
          <t>test avec serveur GitLab simulé : déclenchement → déploiement EN_COURS puis SUCCES sur webhook pipeline.</t>
        </is>
      </c>
      <c r="I9" s="5" t="inlineStr"/>
      <c r="J9" s="5" t="inlineStr"/>
    </row>
    <row r="10">
      <c r="A10" s="4" t="n">
        <v>3</v>
      </c>
      <c r="B10" s="4" t="inlineStr">
        <is>
          <t>P13-T03</t>
        </is>
      </c>
      <c r="C10" s="5" t="inlineStr">
        <is>
          <t>État des environnements</t>
        </is>
      </c>
      <c r="D10" s="4" t="inlineStr">
        <is>
          <t>sonnet</t>
        </is>
      </c>
      <c r="E10" s="4" t="inlineStr">
        <is>
          <t>P13-T01</t>
        </is>
      </c>
      <c r="F10" s="4" t="inlineStr">
        <is>
          <t>NON_FAIT</t>
        </is>
      </c>
      <c r="G10" s="5" t="inlineStr">
        <is>
          <t>sonde de santé périodique des URL d'environnement, version déployée, lien vers les journaux.</t>
        </is>
      </c>
      <c r="H10" s="5" t="inlineStr">
        <is>
          <t>test avec un serveur local : /health 200 → OK ; arrêt → KO après le délai.</t>
        </is>
      </c>
      <c r="I10" s="5" t="inlineStr"/>
      <c r="J10" s="5" t="inlineStr"/>
    </row>
    <row r="11">
      <c r="A11" s="4" t="n">
        <v>4</v>
      </c>
      <c r="B11" s="4" t="inlineStr">
        <is>
          <t>P13-T04</t>
        </is>
      </c>
      <c r="C11" s="5" t="inlineStr">
        <is>
          <t>Validation avant production et rollback</t>
        </is>
      </c>
      <c r="D11" s="4" t="inlineStr">
        <is>
          <t>sonnet</t>
        </is>
      </c>
      <c r="E11" s="4" t="inlineStr">
        <is>
          <t>P13-T02</t>
        </is>
      </c>
      <c r="F11" s="4" t="inlineStr">
        <is>
          <t>NON_FAIT</t>
        </is>
      </c>
      <c r="G11" s="5" t="inlineStr">
        <is>
          <t>déploiement en production soumis à approbation hiérarchique ; rollback = redéploiement du tag précédent.</t>
        </is>
      </c>
      <c r="H11" s="5" t="inlineStr">
        <is>
          <t>tests : déploiement prod sans approbation → refusé ; rollback cible le tag précédent réussi.</t>
        </is>
      </c>
      <c r="I11" s="5" t="inlineStr"/>
      <c r="J11" s="5" t="inlineStr"/>
    </row>
    <row r="12">
      <c r="A12" s="4" t="n">
        <v>5</v>
      </c>
      <c r="B12" s="4" t="inlineStr">
        <is>
          <t>P13-T05</t>
        </is>
      </c>
      <c r="C12" s="5" t="inlineStr">
        <is>
          <t>Indicateurs DORA et pages</t>
        </is>
      </c>
      <c r="D12" s="4" t="inlineStr">
        <is>
          <t>sonnet</t>
        </is>
      </c>
      <c r="E12" s="4" t="inlineStr">
        <is>
          <t>P13-T04</t>
        </is>
      </c>
      <c r="F12" s="4" t="inlineStr">
        <is>
          <t>NON_FAIT</t>
        </is>
      </c>
      <c r="G12" s="5" t="inlineStr">
        <is>
          <t>fréquence de déploiement, délai de livraison, taux d'échec, temps de rétablissement ; pages environnements et historique.</t>
        </is>
      </c>
      <c r="H12" s="5" t="inlineStr">
        <is>
          <t>tests chiffrés sur un historique simulé ; tests bUnit des pages.</t>
        </is>
      </c>
      <c r="I12" s="5" t="inlineStr"/>
      <c r="J12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2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2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P14 · Cadrage, exigences et conception des écrans</t>
        </is>
      </c>
    </row>
    <row r="2" ht="32" customHeight="1">
      <c r="A2" s="11" t="inlineStr">
        <is>
          <t>Objectif : modules Brainstorming, Analyse / exigences, Conception des écrans, traçabilité. Livrable : de l'idée à l'écran spécifié.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P14-T01</t>
        </is>
      </c>
      <c r="C8" s="5" t="inlineStr">
        <is>
          <t>Modèle de données cadrage / exigences / écrans</t>
        </is>
      </c>
      <c r="D8" s="4" t="inlineStr">
        <is>
          <t>opus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modéliser (dans le module Modélisation) puis migrer : idée, session d'atelier, post-it, vote, exigence, user story, critère d'acceptation, règle de gestion, glossaire, demande de changement, écran, champ d'écran, action d'écran, liens de traçabilité ; mettre à jour MLD et schéma de référence.</t>
        </is>
      </c>
      <c r="H8" s="5" t="inlineStr">
        <is>
          <t>comparer-schema.py à 0 écart ; contrôle de cohérence du modèle (P10-T02) à 0 défaut.</t>
        </is>
      </c>
      <c r="I8" s="5" t="inlineStr"/>
      <c r="J8" s="5" t="inlineStr"/>
    </row>
    <row r="9">
      <c r="A9" s="4" t="n">
        <v>2</v>
      </c>
      <c r="B9" s="4" t="inlineStr">
        <is>
          <t>P14-T02</t>
        </is>
      </c>
      <c r="C9" s="5" t="inlineStr">
        <is>
          <t>Brainstorming et tableau blanc</t>
        </is>
      </c>
      <c r="D9" s="4" t="inlineStr">
        <is>
          <t>sonnet</t>
        </is>
      </c>
      <c r="E9" s="4" t="inlineStr">
        <is>
          <t>P14-T01</t>
        </is>
      </c>
      <c r="F9" s="4" t="inlineStr">
        <is>
          <t>NON_FAIT</t>
        </is>
      </c>
      <c r="G9" s="5" t="inlineStr">
        <is>
          <t>fiches idées, tableau blanc collaboratif temps réel (SignalR) : post-its, regroupements, votes, minuteur, mode anonyme ; conversion post-it → exigence / tâche.</t>
        </is>
      </c>
      <c r="H9" s="5" t="inlineStr">
        <is>
          <t>test d'intégration SignalR à 2 clients : un post-it ajouté par l'un apparaît chez l'autre ; la conversion crée l'exigence liée.</t>
        </is>
      </c>
      <c r="I9" s="5" t="inlineStr"/>
      <c r="J9" s="5" t="inlineStr"/>
    </row>
    <row r="10">
      <c r="A10" s="4" t="n">
        <v>3</v>
      </c>
      <c r="B10" s="4" t="inlineStr">
        <is>
          <t>P14-T03</t>
        </is>
      </c>
      <c r="C10" s="5" t="inlineStr">
        <is>
          <t>Modèles d'ateliers et priorisation</t>
        </is>
      </c>
      <c r="D10" s="4" t="inlineStr">
        <is>
          <t>sonnet</t>
        </is>
      </c>
      <c r="E10" s="4" t="inlineStr">
        <is>
          <t>P14-T02</t>
        </is>
      </c>
      <c r="F10" s="4" t="inlineStr">
        <is>
          <t>NON_FAIT</t>
        </is>
      </c>
      <c r="G10" s="5" t="inlineStr">
        <is>
          <t>SWOT, 5 Why, Persona, Lean Canvas, MoSCoW, cartographie des parties prenantes ; scoring RICE, valeur / effort ; note de cadrage générée.</t>
        </is>
      </c>
      <c r="H10" s="5" t="inlineStr">
        <is>
          <t>tests : score RICE calculé exact ; la note de cadrage contient les sections du modèle.</t>
        </is>
      </c>
      <c r="I10" s="5" t="inlineStr"/>
      <c r="J10" s="5" t="inlineStr"/>
    </row>
    <row r="11">
      <c r="A11" s="4" t="n">
        <v>4</v>
      </c>
      <c r="B11" s="4" t="inlineStr">
        <is>
          <t>P14-T04</t>
        </is>
      </c>
      <c r="C11" s="5" t="inlineStr">
        <is>
          <t>Exigences, user stories et changements</t>
        </is>
      </c>
      <c r="D11" s="4" t="inlineStr">
        <is>
          <t>sonnet</t>
        </is>
      </c>
      <c r="E11" s="4" t="inlineStr">
        <is>
          <t>P14-T01</t>
        </is>
      </c>
      <c r="F11" s="4" t="inlineStr">
        <is>
          <t>NON_FAIT</t>
        </is>
      </c>
      <c r="G11" s="5" t="inlineStr">
        <is>
          <t>exigences fonctionnelles / non fonctionnelles numérotées, user stories, critères Gherkin, règles de gestion RG-xxx, glossaire, demandes de changement avec analyse d'impact en jours-homme et validation.</t>
        </is>
      </c>
      <c r="H11" s="5" t="inlineStr">
        <is>
          <t>tests : numérotation continue par projet ; une demande de changement validée crée une nouvelle version de l'exigence sans perdre l'ancienne.</t>
        </is>
      </c>
      <c r="I11" s="5" t="inlineStr"/>
      <c r="J11" s="5" t="inlineStr"/>
    </row>
    <row r="12">
      <c r="A12" s="4" t="n">
        <v>5</v>
      </c>
      <c r="B12" s="4" t="inlineStr">
        <is>
          <t>P14-T05</t>
        </is>
      </c>
      <c r="C12" s="5" t="inlineStr">
        <is>
          <t>Conception des écrans</t>
        </is>
      </c>
      <c r="D12" s="4" t="inlineStr">
        <is>
          <t>sonnet</t>
        </is>
      </c>
      <c r="E12" s="4" t="inlineStr">
        <is>
          <t>P14-T04</t>
        </is>
      </c>
      <c r="F12" s="4" t="inlineStr">
        <is>
          <t>NON_FAIT</t>
        </is>
      </c>
      <c r="G12" s="5" t="inlineStr">
        <is>
          <t>inventaire des écrans, fiche écran (composants, champs liés aux attributs du modèle, actions, règles), arborescence et parcours, wireframes simples en glisser-déposer ; ces fiches alimentent les templates de pages du générateur.</t>
        </is>
      </c>
      <c r="H12" s="5" t="inlineStr">
        <is>
          <t>tests : un champ lié à un attribut obligatoire hérite de la contrainte ; génération de page (P11) utilisant la fiche écran → ordre des champs respecté.</t>
        </is>
      </c>
      <c r="I12" s="5" t="inlineStr"/>
      <c r="J12" s="5" t="inlineStr"/>
    </row>
    <row r="13">
      <c r="A13" s="4" t="n">
        <v>6</v>
      </c>
      <c r="B13" s="4" t="inlineStr">
        <is>
          <t>P14-T06</t>
        </is>
      </c>
      <c r="C13" s="5" t="inlineStr">
        <is>
          <t>Matrice de traçabilité</t>
        </is>
      </c>
      <c r="D13" s="4" t="inlineStr">
        <is>
          <t>opus</t>
        </is>
      </c>
      <c r="E13" s="4" t="inlineStr">
        <is>
          <t>P14-T05</t>
        </is>
      </c>
      <c r="F13" s="4" t="inlineStr">
        <is>
          <t>NON_FAIT</t>
        </is>
      </c>
      <c r="G13" s="5" t="inlineStr">
        <is>
          <t>matrice exigence ↔ cas d'utilisation ↔ écran ↔ entité ↔ ticket ↔ test ↔ MR, détection des trous (exigence sans test, écran sans exigence…), export.</t>
        </is>
      </c>
      <c r="H13" s="5" t="inlineStr">
        <is>
          <t>jeu de données avec 3 trous connus → la matrice signale exactement ces 3 trous.</t>
        </is>
      </c>
      <c r="I13" s="5" t="inlineStr"/>
      <c r="J13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3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3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P15 · Qualité, recette et DevSecOps</t>
        </is>
      </c>
    </row>
    <row r="2" ht="32" customHeight="1">
      <c r="A2" s="11" t="inlineStr">
        <is>
          <t>Objectif : recette outillée et sécurité intégrée au cycle. Livrable : modules Qualité et Sécurité.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P15-T01</t>
        </is>
      </c>
      <c r="C8" s="5" t="inlineStr">
        <is>
          <t>Modèle de données qualité et sécurité</t>
        </is>
      </c>
      <c r="D8" s="4" t="inlineStr">
        <is>
          <t>opus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plan de test, cas de test, campagne, exécution, détail de vulnérabilité (CVSS, CWE, CVE, actif, SLA), checklist de sécurité, menace STRIDE ; migration, MLD.</t>
        </is>
      </c>
      <c r="H8" s="5" t="inlineStr">
        <is>
          <t>comparer-schema.py à 0 écart ; contrôle de cohérence à 0 défaut.</t>
        </is>
      </c>
      <c r="I8" s="5" t="inlineStr"/>
      <c r="J8" s="5" t="inlineStr"/>
    </row>
    <row r="9">
      <c r="A9" s="4" t="n">
        <v>2</v>
      </c>
      <c r="B9" s="4" t="inlineStr">
        <is>
          <t>P15-T02</t>
        </is>
      </c>
      <c r="C9" s="5" t="inlineStr">
        <is>
          <t>Plans, cas, campagnes et exécutions</t>
        </is>
      </c>
      <c r="D9" s="4" t="inlineStr">
        <is>
          <t>sonnet</t>
        </is>
      </c>
      <c r="E9" s="4" t="inlineStr">
        <is>
          <t>P15-T01</t>
        </is>
      </c>
      <c r="F9" s="4" t="inlineStr">
        <is>
          <t>NON_FAIT</t>
        </is>
      </c>
      <c r="G9" s="5" t="inlineStr">
        <is>
          <t>cahier de recette généré depuis les critères d'acceptation, campagnes par version et environnement, exécution pas à pas, création d'une anomalie depuis un test en échec (liée à l'exigence).</t>
        </is>
      </c>
      <c r="H9" s="5" t="inlineStr">
        <is>
          <t>tests : une exécution en échec crée un ticket ANOMALIE_RECETTE lié ; couverture des exigences calculée exacte.</t>
        </is>
      </c>
      <c r="I9" s="5" t="inlineStr"/>
      <c r="J9" s="5" t="inlineStr"/>
    </row>
    <row r="10">
      <c r="A10" s="4" t="n">
        <v>3</v>
      </c>
      <c r="B10" s="4" t="inlineStr">
        <is>
          <t>P15-T03</t>
        </is>
      </c>
      <c r="C10" s="5" t="inlineStr">
        <is>
          <t>Résultats automatisés et qualité de code</t>
        </is>
      </c>
      <c r="D10" s="4" t="inlineStr">
        <is>
          <t>sonnet</t>
        </is>
      </c>
      <c r="E10" s="4" t="inlineStr">
        <is>
          <t>P15-T02</t>
        </is>
      </c>
      <c r="F10" s="4" t="inlineStr">
        <is>
          <t>NON_FAIT</t>
        </is>
      </c>
      <c r="G10" s="5" t="inlineStr">
        <is>
          <t>import des rapports JUnit des pipelines GitLab ; intégration SonarQube (si disponible, hypothèse) : dette, couverture, problèmes.</t>
        </is>
      </c>
      <c r="H10" s="5" t="inlineStr">
        <is>
          <t>test : un rapport JUnit d'exemple → exécutions créées avec les bons statuts.</t>
        </is>
      </c>
      <c r="I10" s="5" t="inlineStr"/>
      <c r="J10" s="5" t="inlineStr">
        <is>
          <t>H-012 (OUVERTE)</t>
        </is>
      </c>
    </row>
    <row r="11">
      <c r="A11" s="4" t="n">
        <v>4</v>
      </c>
      <c r="B11" s="4" t="inlineStr">
        <is>
          <t>P15-T04</t>
        </is>
      </c>
      <c r="C11" s="5" t="inlineStr">
        <is>
          <t>Gestion des vulnérabilités</t>
        </is>
      </c>
      <c r="D11" s="4" t="inlineStr">
        <is>
          <t>sonnet</t>
        </is>
      </c>
      <c r="E11" s="4" t="inlineStr">
        <is>
          <t>P15-T01</t>
        </is>
      </c>
      <c r="F11" s="4" t="inlineStr">
        <is>
          <t>NON_FAIT</t>
        </is>
      </c>
      <c r="G11" s="5" t="inlineStr">
        <is>
          <t>calcul CVSS 3.1, SLA de correction selon la criticité, import des rapports GitLab SAST / DAST / dépendances / conteneurs → tickets VULNERABILITE (dédoublonnés).</t>
        </is>
      </c>
      <c r="H11" s="5" t="inlineStr">
        <is>
          <t>tests : vecteur CVSS de référence → score exact ; import du même rapport deux fois → aucun doublon.</t>
        </is>
      </c>
      <c r="I11" s="5" t="inlineStr"/>
      <c r="J11" s="5" t="inlineStr"/>
    </row>
    <row r="12">
      <c r="A12" s="4" t="n">
        <v>5</v>
      </c>
      <c r="B12" s="4" t="inlineStr">
        <is>
          <t>P15-T05</t>
        </is>
      </c>
      <c r="C12" s="5" t="inlineStr">
        <is>
          <t>Checklists de sécurité et menaces</t>
        </is>
      </c>
      <c r="D12" s="4" t="inlineStr">
        <is>
          <t>sonnet</t>
        </is>
      </c>
      <c r="E12" s="4" t="inlineStr">
        <is>
          <t>P15-T01</t>
        </is>
      </c>
      <c r="F12" s="4" t="inlineStr">
        <is>
          <t>NON_FAIT</t>
        </is>
      </c>
      <c r="G12" s="5" t="inlineStr">
        <is>
          <t>checklists OWASP Top 10 / ASVS par phase, modélisation STRIDE liée aux diagrammes d'architecture, analyse de risques simplifiée.</t>
        </is>
      </c>
      <c r="H12" s="5" t="inlineStr">
        <is>
          <t>tests : une checklist incomplète empêche la validation de la phase si le paramètre l'exige.</t>
        </is>
      </c>
      <c r="I12" s="5" t="inlineStr"/>
      <c r="J12" s="5" t="inlineStr"/>
    </row>
    <row r="13">
      <c r="A13" s="4" t="n">
        <v>6</v>
      </c>
      <c r="B13" s="4" t="inlineStr">
        <is>
          <t>P15-T06</t>
        </is>
      </c>
      <c r="C13" s="5" t="inlineStr">
        <is>
          <t>PV de recette</t>
        </is>
      </c>
      <c r="D13" s="4" t="inlineStr">
        <is>
          <t>sonnet</t>
        </is>
      </c>
      <c r="E13" s="4" t="inlineStr">
        <is>
          <t>P15-T02</t>
        </is>
      </c>
      <c r="F13" s="4" t="inlineStr">
        <is>
          <t>NON_FAIT</t>
        </is>
      </c>
      <c r="G13" s="5" t="inlineStr">
        <is>
          <t>génération du PV (VABF / VSR) depuis une campagne, signature / validation métier tracée.</t>
        </is>
      </c>
      <c r="H13" s="5" t="inlineStr">
        <is>
          <t>test : le PV liste les cas passés / échoués et les réserves ; la validation est enregistrée dans l'historique.</t>
        </is>
      </c>
      <c r="I13" s="5" t="inlineStr"/>
      <c r="J13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3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3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P16 · Documentation, méthodes agiles, automatisation et API</t>
        </is>
      </c>
    </row>
    <row r="2" ht="32" customHeight="1">
      <c r="A2" s="11" t="inlineStr">
        <is>
          <t>Objectif : wiki et livrables générés, Scrum, automatisations, API publique, imports. Livrable : modules 11, 21, 23, 24.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P16-T01</t>
        </is>
      </c>
      <c r="C8" s="5" t="inlineStr">
        <is>
          <t>Wiki de projet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pages Markdown par projet (arborescence, versions, comparaison, liens vers éléments), modèles de pages ; migration + MLD.</t>
        </is>
      </c>
      <c r="H8" s="5" t="inlineStr">
        <is>
          <t>tests : restaurer une version antérieure ; un lien vers un ticket hors périmètre n'en révèle pas le titre.</t>
        </is>
      </c>
      <c r="I8" s="5" t="inlineStr"/>
      <c r="J8" s="5" t="inlineStr"/>
    </row>
    <row r="9">
      <c r="A9" s="4" t="n">
        <v>2</v>
      </c>
      <c r="B9" s="4" t="inlineStr">
        <is>
          <t>P16-T02</t>
        </is>
      </c>
      <c r="C9" s="5" t="inlineStr">
        <is>
          <t>Génération des livrables documentaires</t>
        </is>
      </c>
      <c r="D9" s="4" t="inlineStr">
        <is>
          <t>opus</t>
        </is>
      </c>
      <c r="E9" s="4" t="inlineStr">
        <is>
          <t>P16-T01</t>
        </is>
      </c>
      <c r="F9" s="4" t="inlineStr">
        <is>
          <t>NON_FAIT</t>
        </is>
      </c>
      <c r="G9" s="5" t="inlineStr">
        <is>
          <t>SFG / SFD, dossier de conception (diagrammes inclus), DAT, dictionnaire de données, cahier de recette, en Word et PDF au format officiel, depuis les données saisies.</t>
        </is>
      </c>
      <c r="H9" s="5" t="inlineStr">
        <is>
          <t>tests : le dictionnaire de données contient toutes les entités du modèle ; le document Word s'ouvre (validation OpenXML) et contient les titres attendus.</t>
        </is>
      </c>
      <c r="I9" s="5" t="inlineStr"/>
      <c r="J9" s="5" t="inlineStr"/>
    </row>
    <row r="10">
      <c r="A10" s="4" t="n">
        <v>3</v>
      </c>
      <c r="B10" s="4" t="inlineStr">
        <is>
          <t>P16-T03</t>
        </is>
      </c>
      <c r="C10" s="5" t="inlineStr">
        <is>
          <t>Mode Scrum</t>
        </is>
      </c>
      <c r="D10" s="4" t="inlineStr">
        <is>
          <t>sonnet</t>
        </is>
      </c>
      <c r="E10" s="4" t="inlineStr">
        <is>
          <t>—</t>
        </is>
      </c>
      <c r="F10" s="4" t="inlineStr">
        <is>
          <t>NON_FAIT</t>
        </is>
      </c>
      <c r="G10" s="5" t="inlineStr">
        <is>
          <t>sprints dans une phase (mode hybride), planification selon la capacité, planning poker, rétrospectives (actions → tickets), burndown, burnup, vélocité, CFD.</t>
        </is>
      </c>
      <c r="H10" s="5" t="inlineStr">
        <is>
          <t>tests chiffrés : burndown d'un sprint simulé ; capacité du sprint = somme des disponibilités.</t>
        </is>
      </c>
      <c r="I10" s="5" t="inlineStr"/>
      <c r="J10" s="5" t="inlineStr"/>
    </row>
    <row r="11">
      <c r="A11" s="4" t="n">
        <v>4</v>
      </c>
      <c r="B11" s="4" t="inlineStr">
        <is>
          <t>P16-T04</t>
        </is>
      </c>
      <c r="C11" s="5" t="inlineStr">
        <is>
          <t>Moteur d'automatisation</t>
        </is>
      </c>
      <c r="D11" s="4" t="inlineStr">
        <is>
          <t>opus</t>
        </is>
      </c>
      <c r="E11" s="4" t="inlineStr">
        <is>
          <t>—</t>
        </is>
      </c>
      <c r="F11" s="4" t="inlineStr">
        <is>
          <t>NON_FAIT</t>
        </is>
      </c>
      <c r="G11" s="5" t="inlineStr">
        <is>
          <t>règles « Quand (événement) / Si (conditions) / Alors (actions) » : assignation, notification, changement de statut, escalade ; protection contre les boucles ; journal d'exécution.</t>
        </is>
      </c>
      <c r="H11" s="5" t="inlineStr">
        <is>
          <t>tests : règle « ticket bloqué &gt; 3 jours → notifier le chef » déclenchée au bon moment ; deux règles qui se déclenchent mutuellement → arrêt après la limite et alerte.</t>
        </is>
      </c>
      <c r="I11" s="5" t="inlineStr"/>
      <c r="J11" s="5" t="inlineStr"/>
    </row>
    <row r="12">
      <c r="A12" s="4" t="n">
        <v>5</v>
      </c>
      <c r="B12" s="4" t="inlineStr">
        <is>
          <t>P16-T05</t>
        </is>
      </c>
      <c r="C12" s="5" t="inlineStr">
        <is>
          <t>API publique et webhooks sortants</t>
        </is>
      </c>
      <c r="D12" s="4" t="inlineStr">
        <is>
          <t>sonnet</t>
        </is>
      </c>
      <c r="E12" s="4" t="inlineStr">
        <is>
          <t>—</t>
        </is>
      </c>
      <c r="F12" s="4" t="inlineStr">
        <is>
          <t>NON_FAIT</t>
        </is>
      </c>
      <c r="G12" s="5" t="inlineStr">
        <is>
          <t>API versionnée (/api/v1), jetons d'accès personnels (portée, expiration, révocation), limitation de débit, webhooks sortants signés (HMAC).</t>
        </is>
      </c>
      <c r="H12" s="5" t="inlineStr">
        <is>
          <t>tests : jeton révoqué → 401 ; dépassement du débit → 429 ; signature HMAC vérifiable par le destinataire.</t>
        </is>
      </c>
      <c r="I12" s="5" t="inlineStr"/>
      <c r="J12" s="5" t="inlineStr"/>
    </row>
    <row r="13">
      <c r="A13" s="4" t="n">
        <v>6</v>
      </c>
      <c r="B13" s="4" t="inlineStr">
        <is>
          <t>P16-T06</t>
        </is>
      </c>
      <c r="C13" s="5" t="inlineStr">
        <is>
          <t>Imports Jira, Redmine, Trello, CSV, Excel</t>
        </is>
      </c>
      <c r="D13" s="4" t="inlineStr">
        <is>
          <t>sonnet</t>
        </is>
      </c>
      <c r="E13" s="4" t="inlineStr">
        <is>
          <t>P16-T05</t>
        </is>
      </c>
      <c r="F13" s="4" t="inlineStr">
        <is>
          <t>NON_FAIT</t>
        </is>
      </c>
      <c r="G13" s="5" t="inlineStr">
        <is>
          <t>assistants d'import avec correspondance des champs et des statuts, simulation avant import, rapport.</t>
        </is>
      </c>
      <c r="H13" s="5" t="inlineStr">
        <is>
          <t>tests : un export Jira d'exemple → tâches et tickets créés avec les bons statuts ; la simulation n'écrit rien.</t>
        </is>
      </c>
      <c r="I13" s="5" t="inlineStr"/>
      <c r="J13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3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3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P17 · Expérience utilisateur transverse et accessibilité</t>
        </is>
      </c>
    </row>
    <row r="2" ht="32" customHeight="1">
      <c r="A2" s="11" t="inlineStr">
        <is>
          <t>Objectif : recherche, productivité, PWA, accessibilité RGAA, tests E2E. Livrable : application fluide et accessible.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P17-T01</t>
        </is>
      </c>
      <c r="C8" s="5" t="inlineStr">
        <is>
          <t>Recherche globale et palette de commandes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recherche plein texte PostgreSQL (configuration française, tsvector + index GIN) filtrée par périmètre ; palette Ctrl+K (navigation, actions) ; raccourcis clavier documentés.</t>
        </is>
      </c>
      <c r="H8" s="5" t="inlineStr">
        <is>
          <t>tests : la recherche « affectation » trouve « affecter » (racinisation) ; aucun résultat hors périmètre ; test bUnit de la palette au clavier.</t>
        </is>
      </c>
      <c r="I8" s="5" t="inlineStr"/>
      <c r="J8" s="5" t="inlineStr"/>
    </row>
    <row r="9">
      <c r="A9" s="4" t="n">
        <v>2</v>
      </c>
      <c r="B9" s="4" t="inlineStr">
        <is>
          <t>P17-T02</t>
        </is>
      </c>
      <c r="C9" s="5" t="inlineStr">
        <is>
          <t>Vues enregistrées et filtres avancés</t>
        </is>
      </c>
      <c r="D9" s="4" t="inlineStr">
        <is>
          <t>sonnet</t>
        </is>
      </c>
      <c r="E9" s="4" t="inlineStr">
        <is>
          <t>—</t>
        </is>
      </c>
      <c r="F9" s="4" t="inlineStr">
        <is>
          <t>NON_FAIT</t>
        </is>
      </c>
      <c r="G9" s="5" t="inlineStr">
        <is>
          <t>filtres combinables, vues personnelles et partagées, langage de requête simple (statut = EN_COURS ET priorite &gt;= HAUTE) avec analyseur et messages d'erreur.</t>
        </is>
      </c>
      <c r="H9" s="5" t="inlineStr">
        <is>
          <t>tests de l'analyseur (requêtes valides et invalides) ; une vue partagée respecte le périmètre de chaque lecteur.</t>
        </is>
      </c>
      <c r="I9" s="5" t="inlineStr"/>
      <c r="J9" s="5" t="inlineStr"/>
    </row>
    <row r="10">
      <c r="A10" s="4" t="n">
        <v>3</v>
      </c>
      <c r="B10" s="4" t="inlineStr">
        <is>
          <t>P17-T03</t>
        </is>
      </c>
      <c r="C10" s="5" t="inlineStr">
        <is>
          <t>Favoris, récents, « Ma journée »</t>
        </is>
      </c>
      <c r="D10" s="4" t="inlineStr">
        <is>
          <t>haiku</t>
        </is>
      </c>
      <c r="E10" s="4" t="inlineStr">
        <is>
          <t>—</t>
        </is>
      </c>
      <c r="F10" s="4" t="inlineStr">
        <is>
          <t>NON_FAIT</t>
        </is>
      </c>
      <c r="G10" s="5" t="inlineStr">
        <is>
          <t>favoris, éléments récents, page « Ma journée » (tickets du jour, réunions, temps à saisir).</t>
        </is>
      </c>
      <c r="H10" s="5" t="inlineStr">
        <is>
          <t>tests bUnit : un favori ajouté apparaît dans le menu ; « Ma journée » liste les échéances du jour.</t>
        </is>
      </c>
      <c r="I10" s="5" t="inlineStr"/>
      <c r="J10" s="5" t="inlineStr"/>
    </row>
    <row r="11">
      <c r="A11" s="4" t="n">
        <v>4</v>
      </c>
      <c r="B11" s="4" t="inlineStr">
        <is>
          <t>P17-T04</t>
        </is>
      </c>
      <c r="C11" s="5" t="inlineStr">
        <is>
          <t>PWA</t>
        </is>
      </c>
      <c r="D11" s="4" t="inlineStr">
        <is>
          <t>sonnet</t>
        </is>
      </c>
      <c r="E11" s="4" t="inlineStr">
        <is>
          <t>—</t>
        </is>
      </c>
      <c r="F11" s="4" t="inlineStr">
        <is>
          <t>NON_FAIT</t>
        </is>
      </c>
      <c r="G11" s="5" t="inlineStr">
        <is>
          <t>manifeste, service worker (cache des ressources statiques, lecture hors ligne des derniers éléments consultés), invitation d'installation.</t>
        </is>
      </c>
      <c r="H11" s="5" t="inlineStr">
        <is>
          <t>le manifeste est valide (champs requis) ; test E2E : page consultée accessible hors ligne en lecture.</t>
        </is>
      </c>
      <c r="I11" s="5" t="inlineStr"/>
      <c r="J11" s="5" t="inlineStr"/>
    </row>
    <row r="12">
      <c r="A12" s="4" t="n">
        <v>5</v>
      </c>
      <c r="B12" s="4" t="inlineStr">
        <is>
          <t>P17-T05</t>
        </is>
      </c>
      <c r="C12" s="5" t="inlineStr">
        <is>
          <t>Audit et corrections d'accessibilité</t>
        </is>
      </c>
      <c r="D12" s="4" t="inlineStr">
        <is>
          <t>sonnet</t>
        </is>
      </c>
      <c r="E12" s="4" t="inlineStr">
        <is>
          <t>—</t>
        </is>
      </c>
      <c r="F12" s="4" t="inlineStr">
        <is>
          <t>NON_FAIT</t>
        </is>
      </c>
      <c r="G12" s="5" t="inlineStr">
        <is>
          <t>audit automatisé axe-core via Playwright .NET sur les pages principales, corrections, déclaration d'accessibilité (RGAA / WCAG 2.2 AA).</t>
        </is>
      </c>
      <c r="H12" s="5" t="inlineStr">
        <is>
          <t>test E2E : 0 violation axe « serious » ou « critical » sur les 15 pages principales.</t>
        </is>
      </c>
      <c r="I12" s="5" t="inlineStr"/>
      <c r="J12" s="5" t="inlineStr"/>
    </row>
    <row r="13">
      <c r="A13" s="4" t="n">
        <v>6</v>
      </c>
      <c r="B13" s="4" t="inlineStr">
        <is>
          <t>P17-T06</t>
        </is>
      </c>
      <c r="C13" s="5" t="inlineStr">
        <is>
          <t>Arabe RTL et revue i18n</t>
        </is>
      </c>
      <c r="D13" s="4" t="inlineStr">
        <is>
          <t>sonnet</t>
        </is>
      </c>
      <c r="E13" s="4" t="inlineStr">
        <is>
          <t>—</t>
        </is>
      </c>
      <c r="F13" s="4" t="inlineStr">
        <is>
          <t>NON_FAIT</t>
        </is>
      </c>
      <c r="G13" s="5" t="inlineStr">
        <is>
          <t>revue complète des traductions, mise en miroir correcte des composants (Gantt, Kanban, fil d'Ariane), formats de date.</t>
        </is>
      </c>
      <c r="H13" s="5" t="inlineStr">
        <is>
          <t>test qui échoue si une clé de ressource existe en fr mais pas en en / ar ; capture E2E en arabe sans débordement.</t>
        </is>
      </c>
      <c r="I13" s="5" t="inlineStr"/>
      <c r="J13" s="5" t="inlineStr"/>
    </row>
    <row r="14">
      <c r="A14" s="4" t="n">
        <v>7</v>
      </c>
      <c r="B14" s="4" t="inlineStr">
        <is>
          <t>P17-T07</t>
        </is>
      </c>
      <c r="C14" s="5" t="inlineStr">
        <is>
          <t>Accueil guidé et aide contextuelle</t>
        </is>
      </c>
      <c r="D14" s="4" t="inlineStr">
        <is>
          <t>haiku</t>
        </is>
      </c>
      <c r="E14" s="4" t="inlineStr">
        <is>
          <t>—</t>
        </is>
      </c>
      <c r="F14" s="4" t="inlineStr">
        <is>
          <t>NON_FAIT</t>
        </is>
      </c>
      <c r="G14" s="5" t="inlineStr">
        <is>
          <t>parcours d'accueil par rôle, info-bulles d'aide, liens vers le manuel.</t>
        </is>
      </c>
      <c r="H14" s="5" t="inlineStr">
        <is>
          <t>tests bUnit : le parcours diffère selon le rôle ; il ne s'affiche qu'une fois.</t>
        </is>
      </c>
      <c r="I14" s="5" t="inlineStr"/>
      <c r="J14" s="5" t="inlineStr"/>
    </row>
    <row r="15">
      <c r="A15" s="4" t="n">
        <v>8</v>
      </c>
      <c r="B15" s="4" t="inlineStr">
        <is>
          <t>P17-T08</t>
        </is>
      </c>
      <c r="C15" s="5" t="inlineStr">
        <is>
          <t>Tests E2E des parcours critiques</t>
        </is>
      </c>
      <c r="D15" s="4" t="inlineStr">
        <is>
          <t>sonnet</t>
        </is>
      </c>
      <c r="E15" s="4" t="inlineStr">
        <is>
          <t>P17-T05</t>
        </is>
      </c>
      <c r="F15" s="4" t="inlineStr">
        <is>
          <t>NON_FAIT</t>
        </is>
      </c>
      <c r="G15" s="5" t="inlineStr">
        <is>
          <t>Playwright .NET : création projet → affectation en cascade → équipe → phases / tâches / tickets → saisie et validation des temps → tableau de bord directeur.</t>
        </is>
      </c>
      <c r="H15" s="5" t="inlineStr">
        <is>
          <t>dotnet test tests/Gprojet-E2E vert sur l'environnement docker compose.</t>
        </is>
      </c>
      <c r="I15" s="5" t="inlineStr"/>
      <c r="J15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5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5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P18 · Sécurité Keycloak et durcissement</t>
        </is>
      </c>
    </row>
    <row r="2" ht="32" customHeight="1">
      <c r="A2" s="11" t="inlineStr">
        <is>
          <t>Objectif : authentification réelle (Keycloak, LDAP / AD) et durcissement ASVS. Livrable : application prête pour l'homologation.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opus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P18-T01</t>
        </is>
      </c>
      <c r="C8" s="5" t="inlineStr">
        <is>
          <t>Realm Keycloak</t>
        </is>
      </c>
      <c r="D8" s="4" t="inlineStr">
        <is>
          <t>opus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export JSON versionné du realm (client confidentiel du backend pour le BFF, client de l'API publique, rôles, mappers, politique de sessions), service Keycloak dans docker compose, fédération LDAP / AD paramétrée (hypothèse sur l'annuaire).</t>
        </is>
      </c>
      <c r="H8" s="5" t="inlineStr">
        <is>
          <t>docker compose --profile keycloak up importe le realm ; obtention d'un jeton de test pour un utilisateur de démo.</t>
        </is>
      </c>
      <c r="I8" s="5" t="inlineStr"/>
      <c r="J8" s="5" t="inlineStr">
        <is>
          <t>H-013 (OUVERTE, bloquante)</t>
        </is>
      </c>
    </row>
    <row r="9">
      <c r="A9" s="4" t="n">
        <v>2</v>
      </c>
      <c r="B9" s="4" t="inlineStr">
        <is>
          <t>P18-T02</t>
        </is>
      </c>
      <c r="C9" s="5" t="inlineStr">
        <is>
          <t>BFF OIDC et API JWT</t>
        </is>
      </c>
      <c r="D9" s="4" t="inlineStr">
        <is>
          <t>opus</t>
        </is>
      </c>
      <c r="E9" s="4" t="inlineStr">
        <is>
          <t>P18-T01</t>
        </is>
      </c>
      <c r="F9" s="4" t="inlineStr">
        <is>
          <t>NON_FAIT</t>
        </is>
      </c>
      <c r="G9" s="5" t="inlineStr">
        <is>
          <t>BFF : code + PKCE, cookie sécurisé, rafraîchissement, déconnexion globale ; API : validation JWT (audience, émetteur, durée) ; correspondance keycloak_sub ↔ agent (premier login par matricule).</t>
        </is>
      </c>
      <c r="H9" s="5" t="inlineStr">
        <is>
          <t>tests d'intégration avec Keycloak de test : connexion complète, jeton expiré → rafraîchi, déconnexion → cookie invalidé ; jeton d'une autre audience → 401.</t>
        </is>
      </c>
      <c r="I9" s="5" t="inlineStr"/>
      <c r="J9" s="5" t="inlineStr"/>
    </row>
    <row r="10">
      <c r="A10" s="4" t="n">
        <v>3</v>
      </c>
      <c r="B10" s="4" t="inlineStr">
        <is>
          <t>P18-T03</t>
        </is>
      </c>
      <c r="C10" s="5" t="inlineStr">
        <is>
          <t>MFA et politiques de session</t>
        </is>
      </c>
      <c r="D10" s="4" t="inlineStr">
        <is>
          <t>sonnet</t>
        </is>
      </c>
      <c r="E10" s="4" t="inlineStr">
        <is>
          <t>P18-T01</t>
        </is>
      </c>
      <c r="F10" s="4" t="inlineStr">
        <is>
          <t>NON_FAIT</t>
        </is>
      </c>
      <c r="G10" s="5" t="inlineStr">
        <is>
          <t>MFA (TOTP) obligatoire pour les rôles de chef et d'administrateur, politique de mots de passe, durée de session, verrouillage.</t>
        </is>
      </c>
      <c r="H10" s="5" t="inlineStr">
        <is>
          <t>test : un chef sans MFA configuré est redirigé vers l'enrôlement.</t>
        </is>
      </c>
      <c r="I10" s="5" t="inlineStr"/>
      <c r="J10" s="5" t="inlineStr"/>
    </row>
    <row r="11">
      <c r="A11" s="4" t="n">
        <v>4</v>
      </c>
      <c r="B11" s="4" t="inlineStr">
        <is>
          <t>P18-T04</t>
        </is>
      </c>
      <c r="C11" s="5" t="inlineStr">
        <is>
          <t>Revue de sécurité ASVS niveau 2</t>
        </is>
      </c>
      <c r="D11" s="4" t="inlineStr">
        <is>
          <t>opus</t>
        </is>
      </c>
      <c r="E11" s="4" t="inlineStr">
        <is>
          <t>P18-T02</t>
        </is>
      </c>
      <c r="F11" s="4" t="inlineStr">
        <is>
          <t>NON_FAIT</t>
        </is>
      </c>
      <c r="G11" s="5" t="inlineStr">
        <is>
          <t>en-têtes (CSP stricte, HSTS, X-Content-Type-Options, Referrer-Policy), anti-CSRF, limitation de débit, validation des téléversements, injection SQL / XSS, journalisation de sécurité ; corrections ; rapport docs/SECURITE.md.</t>
        </is>
      </c>
      <c r="H11" s="5" t="inlineStr">
        <is>
          <t>tests automatisés des en-têtes et du CSRF ; scan DAST de base (ZAP baseline via conteneur) sans alerte haute ; rapport complété.</t>
        </is>
      </c>
      <c r="I11" s="5" t="inlineStr"/>
      <c r="J11" s="5" t="inlineStr"/>
    </row>
    <row r="12">
      <c r="A12" s="4" t="n">
        <v>5</v>
      </c>
      <c r="B12" s="4" t="inlineStr">
        <is>
          <t>P18-T05</t>
        </is>
      </c>
      <c r="C12" s="5" t="inlineStr">
        <is>
          <t>Sauvegardes et restauration</t>
        </is>
      </c>
      <c r="D12" s="4" t="inlineStr">
        <is>
          <t>sonnet</t>
        </is>
      </c>
      <c r="E12" s="4" t="inlineStr">
        <is>
          <t>—</t>
        </is>
      </c>
      <c r="F12" s="4" t="inlineStr">
        <is>
          <t>NON_FAIT</t>
        </is>
      </c>
      <c r="G12" s="5" t="inlineStr">
        <is>
          <t>sauvegarde planifiée (pg_dump chiffré, rétention), procédure de restauration documentée et testée.</t>
        </is>
      </c>
      <c r="H12" s="5" t="inlineStr">
        <is>
          <t>script de test : sauvegarde → base détruite → restauration → comptages identiques.</t>
        </is>
      </c>
      <c r="I12" s="5" t="inlineStr"/>
      <c r="J12" s="5" t="inlineStr"/>
    </row>
    <row r="13">
      <c r="A13" s="4" t="n">
        <v>6</v>
      </c>
      <c r="B13" s="4" t="inlineStr">
        <is>
          <t>P18-T06</t>
        </is>
      </c>
      <c r="C13" s="5" t="inlineStr">
        <is>
          <t>Confidentialité et données personnelles</t>
        </is>
      </c>
      <c r="D13" s="4" t="inlineStr">
        <is>
          <t>sonnet</t>
        </is>
      </c>
      <c r="E13" s="4" t="inlineStr">
        <is>
          <t>—</t>
        </is>
      </c>
      <c r="F13" s="4" t="inlineStr">
        <is>
          <t>NON_FAIT</t>
        </is>
      </c>
      <c r="G13" s="5" t="inlineStr">
        <is>
          <t>restrictions par classification (DIFFUSION_RESTREINTE : membres nommés uniquement), export des données d'un agent, anonymisation d'un agent parti, durées de conservation.</t>
        </is>
      </c>
      <c r="H13" s="5" t="inlineStr">
        <is>
          <t>tests : un directeur ne voit pas le détail d'un projet DIFFUSION_RESTREINTE dont il n'est pas membre (seulement sa ligne agrégée) ; l'anonymisation conserve les temps mais retire l'identité.</t>
        </is>
      </c>
      <c r="I13" s="5" t="inlineStr"/>
      <c r="J13" s="5" t="inlineStr"/>
    </row>
    <row r="14">
      <c r="A14" s="4" t="n">
        <v>7</v>
      </c>
      <c r="B14" s="4" t="inlineStr">
        <is>
          <t>P18-T07</t>
        </is>
      </c>
      <c r="C14" s="5" t="inlineStr">
        <is>
          <t>Retrait de l'authentification de développement en production</t>
        </is>
      </c>
      <c r="D14" s="4" t="inlineStr">
        <is>
          <t>haiku</t>
        </is>
      </c>
      <c r="E14" s="4" t="inlineStr">
        <is>
          <t>P18-T02</t>
        </is>
      </c>
      <c r="F14" s="4" t="inlineStr">
        <is>
          <t>NON_FAIT</t>
        </is>
      </c>
      <c r="G14" s="5" t="inlineStr">
        <is>
          <t>garantir que DevAuthHandler et la page de connexion de développement n'existent qu'en Development / Test.</t>
        </is>
      </c>
      <c r="H14" s="5" t="inlineStr">
        <is>
          <t>test d'intégration en environnement Production : l'en-tête X-Dev-Matricule est ignoré (401) et /bff/login redirige vers Keycloak.</t>
        </is>
      </c>
      <c r="I14" s="5" t="inlineStr"/>
      <c r="J14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4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4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9" customWidth="1" min="4" max="4"/>
    <col width="16" customWidth="1" min="5" max="5"/>
    <col width="12" customWidth="1" min="6" max="6"/>
    <col width="70" customWidth="1" min="7" max="7"/>
    <col width="60" customWidth="1" min="8" max="8"/>
    <col width="30" customWidth="1" min="9" max="9"/>
    <col width="34" customWidth="1" min="10" max="10"/>
  </cols>
  <sheetData>
    <row r="1">
      <c r="A1" s="1" t="inlineStr">
        <is>
          <t>P19 · Performance, recette finale et mise en production</t>
        </is>
      </c>
    </row>
    <row r="2" ht="32" customHeight="1">
      <c r="A2" s="11" t="inlineStr">
        <is>
          <t>Objectif : tenue en charge, observabilité, documentation d'exploitation, recette et go-live. Livrable : version 1.0 en production.</t>
        </is>
      </c>
    </row>
    <row r="3">
      <c r="A3" s="7" t="inlineStr">
        <is>
          <t>Statut phase</t>
        </is>
      </c>
      <c r="B3" s="7" t="inlineStr">
        <is>
          <t>NON_DEMARREE</t>
        </is>
      </c>
    </row>
    <row r="4">
      <c r="A4" s="7" t="inlineStr">
        <is>
          <t>Modèle conseillé</t>
        </is>
      </c>
      <c r="B4" s="7" t="inlineStr">
        <is>
          <t>sonnet</t>
        </is>
      </c>
    </row>
    <row r="5">
      <c r="A5" s="7" t="inlineStr">
        <is>
          <t>Avancement</t>
        </is>
      </c>
      <c r="B5" s="12">
        <f>IF(COUNTA(B8:B200)=0,0,(COUNTIF(F8:F200,"A_VALIDER")+COUNTIF(F8:F200,"VALIDE"))/COUNTA(B8:B200))</f>
        <v/>
      </c>
    </row>
    <row r="6">
      <c r="A6" s="13" t="inlineStr">
        <is>
          <t>← Retour à l'ordre d'exécution</t>
        </is>
      </c>
    </row>
    <row r="7">
      <c r="A7" s="3" t="inlineStr">
        <is>
          <t>Ordre</t>
        </is>
      </c>
      <c r="B7" s="3" t="inlineStr">
        <is>
          <t>Code</t>
        </is>
      </c>
      <c r="C7" s="3" t="inlineStr">
        <is>
          <t>Tâche</t>
        </is>
      </c>
      <c r="D7" s="3" t="inlineStr">
        <is>
          <t>Modèle</t>
        </is>
      </c>
      <c r="E7" s="3" t="inlineStr">
        <is>
          <t>Dépend de</t>
        </is>
      </c>
      <c r="F7" s="3" t="inlineStr">
        <is>
          <t>Statut</t>
        </is>
      </c>
      <c r="G7" s="3" t="inlineStr">
        <is>
          <t>Explication</t>
        </is>
      </c>
      <c r="H7" s="3" t="inlineStr">
        <is>
          <t>Test de validation</t>
        </is>
      </c>
      <c r="I7" s="3" t="inlineStr">
        <is>
          <t>Retours utilisateur</t>
        </is>
      </c>
      <c r="J7" s="3" t="inlineStr">
        <is>
          <t>Hypothèses liées</t>
        </is>
      </c>
    </row>
    <row r="8">
      <c r="A8" s="4" t="n">
        <v>1</v>
      </c>
      <c r="B8" s="4" t="inlineStr">
        <is>
          <t>P19-T01</t>
        </is>
      </c>
      <c r="C8" s="5" t="inlineStr">
        <is>
          <t>Jeu de données volumineux et tests de charge</t>
        </is>
      </c>
      <c r="D8" s="4" t="inlineStr">
        <is>
          <t>sonnet</t>
        </is>
      </c>
      <c r="E8" s="4" t="inlineStr">
        <is>
          <t>—</t>
        </is>
      </c>
      <c r="F8" s="4" t="inlineStr">
        <is>
          <t>NON_FAIT</t>
        </is>
      </c>
      <c r="G8" s="5" t="inlineStr">
        <is>
          <t>générateur de données (200 projets, 5 000 tâches, 100 000 tickets, 2 ans de temps), scénarios de charge (NBomber) sur tableaux de bord, listes et saisie des temps.</t>
        </is>
      </c>
      <c r="H8" s="5" t="inlineStr">
        <is>
          <t>rapport NBomber : p95 &lt; 2 s sur les tableaux de bord et &lt; 500 ms sur les listes paginées avec 50 utilisateurs simultanés.</t>
        </is>
      </c>
      <c r="I8" s="5" t="inlineStr"/>
      <c r="J8" s="5" t="inlineStr"/>
    </row>
    <row r="9">
      <c r="A9" s="4" t="n">
        <v>2</v>
      </c>
      <c r="B9" s="4" t="inlineStr">
        <is>
          <t>P19-T02</t>
        </is>
      </c>
      <c r="C9" s="5" t="inlineStr">
        <is>
          <t>Optimisations</t>
        </is>
      </c>
      <c r="D9" s="4" t="inlineStr">
        <is>
          <t>sonnet</t>
        </is>
      </c>
      <c r="E9" s="4" t="inlineStr">
        <is>
          <t>P19-T01</t>
        </is>
      </c>
      <c r="F9" s="4" t="inlineStr">
        <is>
          <t>NON_FAIT</t>
        </is>
      </c>
      <c r="G9" s="5" t="inlineStr">
        <is>
          <t>analyse des plans d'exécution (EXPLAIN ANALYZE), index manquants, requêtes N+1, cache de lecture ; mise à jour du schéma de référence si index ajoutés.</t>
        </is>
      </c>
      <c r="H9" s="5" t="inlineStr">
        <is>
          <t>nouveau passage NBomber conforme aux seuils ; comparer-schema.py à 0 écart.</t>
        </is>
      </c>
      <c r="I9" s="5" t="inlineStr"/>
      <c r="J9" s="5" t="inlineStr"/>
    </row>
    <row r="10">
      <c r="A10" s="4" t="n">
        <v>3</v>
      </c>
      <c r="B10" s="4" t="inlineStr">
        <is>
          <t>P19-T03</t>
        </is>
      </c>
      <c r="C10" s="5" t="inlineStr">
        <is>
          <t>Observabilité</t>
        </is>
      </c>
      <c r="D10" s="4" t="inlineStr">
        <is>
          <t>sonnet</t>
        </is>
      </c>
      <c r="E10" s="4" t="inlineStr">
        <is>
          <t>—</t>
        </is>
      </c>
      <c r="F10" s="4" t="inlineStr">
        <is>
          <t>NON_FAIT</t>
        </is>
      </c>
      <c r="G10" s="5" t="inlineStr">
        <is>
          <t>OpenTelemetry (traces, métriques, journaux), profil docker compose d'observabilité, tableaux de bord et alertes (erreurs 5xx, latence, file de jobs).</t>
        </is>
      </c>
      <c r="H10" s="5" t="inlineStr">
        <is>
          <t>une requête produit une trace corrélée navigateur → backend → base visible dans l'outil ; une alerte se déclenche sur erreurs simulées.</t>
        </is>
      </c>
      <c r="I10" s="5" t="inlineStr"/>
      <c r="J10" s="5" t="inlineStr"/>
    </row>
    <row r="11">
      <c r="A11" s="4" t="n">
        <v>4</v>
      </c>
      <c r="B11" s="4" t="inlineStr">
        <is>
          <t>P19-T04</t>
        </is>
      </c>
      <c r="C11" s="5" t="inlineStr">
        <is>
          <t>Documentation d'exploitation et manuels</t>
        </is>
      </c>
      <c r="D11" s="4" t="inlineStr">
        <is>
          <t>haiku</t>
        </is>
      </c>
      <c r="E11" s="4" t="inlineStr">
        <is>
          <t>—</t>
        </is>
      </c>
      <c r="F11" s="4" t="inlineStr">
        <is>
          <t>NON_FAIT</t>
        </is>
      </c>
      <c r="G11" s="5" t="inlineStr">
        <is>
          <t>docs/EXPLOITATION.md (installation, configuration, sauvegarde, mise à jour, supervision) et manuels utilisateur par rôle (directeur, chef de division, chef de service, agent, administrateur).</t>
        </is>
      </c>
      <c r="H11" s="5" t="inlineStr">
        <is>
          <t>chaque manuel couvre les écrans de son rôle (liste de contrôle comparée au menu par rôle) ; chaque commande citée existe.</t>
        </is>
      </c>
      <c r="I11" s="5" t="inlineStr"/>
      <c r="J11" s="5" t="inlineStr"/>
    </row>
    <row r="12">
      <c r="A12" s="4" t="n">
        <v>5</v>
      </c>
      <c r="B12" s="4" t="inlineStr">
        <is>
          <t>P19-T05</t>
        </is>
      </c>
      <c r="C12" s="5" t="inlineStr">
        <is>
          <t>Recette finale</t>
        </is>
      </c>
      <c r="D12" s="4" t="inlineStr">
        <is>
          <t>sonnet</t>
        </is>
      </c>
      <c r="E12" s="4" t="inlineStr">
        <is>
          <t>P19-T02, P19-T03</t>
        </is>
      </c>
      <c r="F12" s="4" t="inlineStr">
        <is>
          <t>NON_FAIT</t>
        </is>
      </c>
      <c r="G12" s="5" t="inlineStr">
        <is>
          <t>campagne de recette complète dans le module Qualité sur l'environnement de recette, correction des anomalies bloquantes, PV de recette.</t>
        </is>
      </c>
      <c r="H12" s="5" t="inlineStr">
        <is>
          <t>PV généré : 0 anomalie bloquante ou majeure ouverte ; tests E2E verts.</t>
        </is>
      </c>
      <c r="I12" s="5" t="inlineStr"/>
      <c r="J12" s="5" t="inlineStr"/>
    </row>
    <row r="13">
      <c r="A13" s="4" t="n">
        <v>6</v>
      </c>
      <c r="B13" s="4" t="inlineStr">
        <is>
          <t>P19-T06</t>
        </is>
      </c>
      <c r="C13" s="5" t="inlineStr">
        <is>
          <t>Mise en production</t>
        </is>
      </c>
      <c r="D13" s="4" t="inlineStr">
        <is>
          <t>sonnet</t>
        </is>
      </c>
      <c r="E13" s="4" t="inlineStr">
        <is>
          <t>P19-T05</t>
        </is>
      </c>
      <c r="F13" s="4" t="inlineStr">
        <is>
          <t>NON_FAIT</t>
        </is>
      </c>
      <c r="G13" s="5" t="inlineStr">
        <is>
          <t>tag de version 1.0, images publiées, déploiement de production via le module Déploiement avec approbation, liste de contrôle de mise en production, plan de retour arrière.</t>
        </is>
      </c>
      <c r="H13" s="5" t="inlineStr">
        <is>
          <t>liste de contrôle cochée dans docs/MISE-EN-PRODUCTION.md ; /health/ready de production à 200 ; procédure de rollback répétée en préproduction.</t>
        </is>
      </c>
      <c r="I13" s="5" t="inlineStr"/>
      <c r="J13" s="5" t="inlineStr"/>
    </row>
  </sheetData>
  <mergeCells count="1">
    <mergeCell ref="A2:J2"/>
  </mergeCells>
  <conditionalFormatting sqref="B3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conditionalFormatting sqref="B4"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conditionalFormatting sqref="D8:D13">
    <cfRule type="cellIs" priority="13" operator="equal" dxfId="5">
      <formula>"opus"</formula>
    </cfRule>
    <cfRule type="cellIs" priority="14" operator="equal" dxfId="1">
      <formula>"sonnet"</formula>
    </cfRule>
    <cfRule type="cellIs" priority="15" operator="equal" dxfId="3">
      <formula>"haiku"</formula>
    </cfRule>
  </conditionalFormatting>
  <conditionalFormatting sqref="F8:F13">
    <cfRule type="cellIs" priority="16" operator="equal" dxfId="0">
      <formula>"NON_FAIT"</formula>
    </cfRule>
    <cfRule type="cellIs" priority="17" operator="equal" dxfId="0">
      <formula>"NON_DEMARREE"</formula>
    </cfRule>
    <cfRule type="cellIs" priority="18" operator="equal" dxfId="1">
      <formula>"EN_COURS"</formula>
    </cfRule>
    <cfRule type="cellIs" priority="19" operator="equal" dxfId="2">
      <formula>"A_VALIDER"</formula>
    </cfRule>
    <cfRule type="cellIs" priority="20" operator="equal" dxfId="3">
      <formula>"VALIDE"</formula>
    </cfRule>
    <cfRule type="cellIs" priority="21" operator="equal" dxfId="3">
      <formula>"VALIDEE"</formula>
    </cfRule>
    <cfRule type="cellIs" priority="22" operator="equal" dxfId="4">
      <formula>"BLOQUE"</formula>
    </cfRule>
    <cfRule type="cellIs" priority="23" operator="equal" dxfId="4">
      <formula>"OUVERTE"</formula>
    </cfRule>
    <cfRule type="cellIs" priority="24" operator="equal" dxfId="3">
      <formula>"REPONDUE"</formula>
    </cfRule>
  </conditionalFormatting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1" customWidth="1" min="4" max="4"/>
    <col width="17" customWidth="1" min="5" max="5"/>
    <col width="55" customWidth="1" min="6" max="6"/>
    <col width="55" customWidth="1" min="7" max="7"/>
    <col width="45" customWidth="1" min="8" max="8"/>
    <col width="45" customWidth="1" min="9" max="9"/>
  </cols>
  <sheetData>
    <row r="1">
      <c r="A1" s="1" t="inlineStr">
        <is>
          <t>Feuille des hypothèses</t>
        </is>
      </c>
    </row>
    <row r="2">
      <c r="A2" s="2" t="inlineStr">
        <is>
          <t>Réponse : /repondre-hypothese H-00x &lt;réponse&gt;. Une hypothèse bloquante ouverte met sa tâche en BLOQUE.</t>
        </is>
      </c>
    </row>
    <row r="4">
      <c r="A4" s="3" t="inlineStr">
        <is>
          <t>Code</t>
        </is>
      </c>
      <c r="B4" s="3" t="inlineStr">
        <is>
          <t>Tâche</t>
        </is>
      </c>
      <c r="C4" s="3" t="inlineStr">
        <is>
          <t>Statut</t>
        </is>
      </c>
      <c r="D4" s="3" t="inlineStr">
        <is>
          <t>Bloquante</t>
        </is>
      </c>
      <c r="E4" s="3" t="inlineStr">
        <is>
          <t>Date</t>
        </is>
      </c>
      <c r="F4" s="3" t="inlineStr">
        <is>
          <t>Question</t>
        </is>
      </c>
      <c r="G4" s="3" t="inlineStr">
        <is>
          <t>Hypothèse par défaut</t>
        </is>
      </c>
      <c r="H4" s="3" t="inlineStr">
        <is>
          <t>Impact si fausse</t>
        </is>
      </c>
      <c r="I4" s="3" t="inlineStr">
        <is>
          <t>Réponse utilisateur</t>
        </is>
      </c>
    </row>
    <row r="5">
      <c r="A5" s="4" t="inlineStr">
        <is>
          <t>H-001</t>
        </is>
      </c>
      <c r="B5" s="4" t="inlineStr">
        <is>
          <t>P3-T01</t>
        </is>
      </c>
      <c r="C5" s="4" t="inlineStr">
        <is>
          <t>REPONDUE</t>
        </is>
      </c>
      <c r="D5" s="4" t="inlineStr">
        <is>
          <t>oui</t>
        </is>
      </c>
      <c r="E5" s="4" t="inlineStr">
        <is>
          <t>2026-10-16 10:54</t>
        </is>
      </c>
      <c r="F5" s="5" t="inlineStr">
        <is>
          <t>Docker n'est pas installé sur le poste. Faut-il installer Docker Desktop (ou Rancher Desktop / Podman) avant la phase P3 ?</t>
        </is>
      </c>
      <c r="G5" s="5" t="inlineStr">
        <is>
          <t>Docker Desktop sera installé par l'utilisateur avant P3 ; P3-T03, P3-T04 et P3-T05 peuvent avancer sans Docker.</t>
        </is>
      </c>
      <c r="H5" s="5" t="inlineStr">
        <is>
          <t>Sans moteur de conteneurs, les images, docker compose et les tests Testcontainers ne peuvent pas être validés.</t>
        </is>
      </c>
      <c r="I5" s="5" t="inlineStr">
        <is>
          <t>23) : Docker 29 est installé</t>
        </is>
      </c>
    </row>
    <row r="6">
      <c r="A6" s="4" t="inlineStr">
        <is>
          <t>H-002</t>
        </is>
      </c>
      <c r="B6" s="4" t="inlineStr">
        <is>
          <t>P3-T04</t>
        </is>
      </c>
      <c r="C6" s="4" t="inlineStr">
        <is>
          <t>REPONDUE</t>
        </is>
      </c>
      <c r="D6" s="4" t="inlineStr">
        <is>
          <t>non</t>
        </is>
      </c>
      <c r="E6" s="4" t="inlineStr">
        <is>
          <t>2026-10-16 10:54</t>
        </is>
      </c>
      <c r="F6" s="5" t="inlineStr">
        <is>
          <t>Quelle instance GitLab (URL, version, runners Docker disponibles) exécutera le pipeline ?</t>
        </is>
      </c>
      <c r="G6" s="5" t="inlineStr">
        <is>
          <t>GitLab self-managed ≥ 17 avec runners Docker et Container Registry activé ; validation du YAML par script local, CI Lint GitLab dès que l'URL est connue.</t>
        </is>
      </c>
      <c r="H6" s="5" t="inlineStr">
        <is>
          <t>Mots-clés ou templates de sécurité indisponibles selon l'édition (SAST/DAST complets = Ultimate).</t>
        </is>
      </c>
      <c r="I6" s="5" t="inlineStr">
        <is>
          <t>48) : Choix utilisateur (2026-10-16) : le dépôt du projet est sur GitHub (hajar-hamid-coder/gprojet, public) ; l'intégration continue se fait avec GitHub Actions et l'image est publiée sur ghcr.io. GitLab reste une intégration fonctionnelle de la plateforme (P12-P13).</t>
        </is>
      </c>
    </row>
    <row r="7">
      <c r="A7" s="4" t="inlineStr">
        <is>
          <t>H-003</t>
        </is>
      </c>
      <c r="B7" s="4" t="inlineStr">
        <is>
          <t>P0-T06</t>
        </is>
      </c>
      <c r="C7" s="4" t="inlineStr">
        <is>
          <t>REPONDUE</t>
        </is>
      </c>
      <c r="D7" s="4" t="inlineStr">
        <is>
          <t>non</t>
        </is>
      </c>
      <c r="E7" s="4" t="inlineStr">
        <is>
          <t>2026-10-16 10:54</t>
        </is>
      </c>
      <c r="F7" s="5" t="inlineStr">
        <is>
          <t>Node.js n'est pas installé : faut-il l'installer pour Ponytail (hooks d'activation) et l'installation du skill motion-design ?</t>
        </is>
      </c>
      <c r="G7" s="5" t="inlineStr">
        <is>
          <t>Installer Node.js LTS via scripts/installer-outils.ps1 ; sans Node, les skills Ponytail restent utilisables manuellement et motion-design est copié par git clone.</t>
        </is>
      </c>
      <c r="H7" s="5" t="inlineStr">
        <is>
          <t>Ponytail ne s'active pas automatiquement à chaque session.</t>
        </is>
      </c>
      <c r="I7" s="5" t="inlineStr">
        <is>
          <t>23) : Node.js v26 est installé</t>
        </is>
      </c>
    </row>
    <row r="8">
      <c r="A8" s="4" t="inlineStr">
        <is>
          <t>H-004</t>
        </is>
      </c>
      <c r="B8" s="4" t="inlineStr">
        <is>
          <t>P1-T09</t>
        </is>
      </c>
      <c r="C8" s="4" t="inlineStr">
        <is>
          <t>REPONDUE</t>
        </is>
      </c>
      <c r="D8" s="4" t="inlineStr">
        <is>
          <t>non</t>
        </is>
      </c>
      <c r="E8" s="4" t="inlineStr">
        <is>
          <t>2026-10-16 10:54</t>
        </is>
      </c>
      <c r="F8" s="5" t="inlineStr">
        <is>
          <t>Pour exécuter l'API en développement (hors tests), quelle base PostgreSQL utiliser et avec quel compte ?</t>
        </is>
      </c>
      <c r="G8" s="5" t="inlineStr">
        <is>
          <t>Tests sur l'instance jetable pg-test ; exécution locale sur le service PostgreSQL 18 du poste avec une chaîne de connexion définie par l'utilisateur dans dotnet user-secrets (Claude ne connaît aucun mot de passe).</t>
        </is>
      </c>
      <c r="H8" s="5" t="inlineStr">
        <is>
          <t>Si une autre base est imposée, seule la configuration change.</t>
        </is>
      </c>
      <c r="I8" s="5" t="inlineStr">
        <is>
          <t>31) : Base de développement fournie : gprojet (vide) sur localhost:5432, compte postgres. Chaîne de connexion dans .claude/settings.local.json (variable ConnectionStrings__Gp, non versionnée). Les tests restent sur l'instance jetable pg-test, jamais sur gprojet.</t>
        </is>
      </c>
    </row>
    <row r="9">
      <c r="A9" s="4" t="inlineStr">
        <is>
          <t>H-005</t>
        </is>
      </c>
      <c r="B9" s="4" t="inlineStr">
        <is>
          <t>P6-T11</t>
        </is>
      </c>
      <c r="C9" s="4" t="inlineStr">
        <is>
          <t>OUVERTE</t>
        </is>
      </c>
      <c r="D9" s="4" t="inlineStr">
        <is>
          <t>non</t>
        </is>
      </c>
      <c r="E9" s="4" t="inlineStr">
        <is>
          <t>2026-10-16 10:54</t>
        </is>
      </c>
      <c r="F9" s="5" t="inlineStr">
        <is>
          <t>Quelle bibliothèque de Gantt utiliser (licence compatible marché public) ?</t>
        </is>
      </c>
      <c r="G9" s="5" t="inlineStr">
        <is>
          <t>Frappe Gantt (MIT) via JS Interop ; vue PERT avec Cytoscape.js (MIT).</t>
        </is>
      </c>
      <c r="H9" s="5" t="inlineStr">
        <is>
          <t>Fonctions avancées (ressources, baseline visuelle) à développer soi-même ; alternative commerciale DHTMLX / Syncfusion.</t>
        </is>
      </c>
      <c r="I9" s="5" t="inlineStr">
        <is>
          <t>en attente</t>
        </is>
      </c>
    </row>
    <row r="10">
      <c r="A10" s="4" t="inlineStr">
        <is>
          <t>H-006</t>
        </is>
      </c>
      <c r="B10" s="4" t="inlineStr">
        <is>
          <t>P8-T07</t>
        </is>
      </c>
      <c r="C10" s="4" t="inlineStr">
        <is>
          <t>OUVERTE</t>
        </is>
      </c>
      <c r="D10" s="4" t="inlineStr">
        <is>
          <t>non</t>
        </is>
      </c>
      <c r="E10" s="4" t="inlineStr">
        <is>
          <t>2026-10-16 10:54</t>
        </is>
      </c>
      <c r="F10" s="5" t="inlineStr">
        <is>
          <t>Bibliothèques d'export Excel et PDF autorisées ?</t>
        </is>
      </c>
      <c r="G10" s="5" t="inlineStr">
        <is>
          <t>ClosedXML (MIT) pour Excel, PDFsharp / MigraDoc (MIT) pour PDF ; QuestPDF écarté (licence communautaire conditionnelle).</t>
        </is>
      </c>
      <c r="H10" s="5" t="inlineStr">
        <is>
          <t>Mise en page PDF plus verbeuse à coder.</t>
        </is>
      </c>
      <c r="I10" s="5" t="inlineStr">
        <is>
          <t>en attente</t>
        </is>
      </c>
    </row>
    <row r="11">
      <c r="A11" s="4" t="inlineStr">
        <is>
          <t>H-007</t>
        </is>
      </c>
      <c r="B11" s="4" t="inlineStr">
        <is>
          <t>P8-T07</t>
        </is>
      </c>
      <c r="C11" s="4" t="inlineStr">
        <is>
          <t>OUVERTE</t>
        </is>
      </c>
      <c r="D11" s="4" t="inlineStr">
        <is>
          <t>non</t>
        </is>
      </c>
      <c r="E11" s="4" t="inlineStr">
        <is>
          <t>2026-10-16 10:54</t>
        </is>
      </c>
      <c r="F11" s="5" t="inlineStr">
        <is>
          <t>Charte officielle (logo, en-tête, mentions) à appliquer sur les exports et les livrables ?</t>
        </is>
      </c>
      <c r="G11" s="5" t="inlineStr">
        <is>
          <t>Logo et en-tête génériques paramétrables par entité, remplacés par les fichiers officiels fournis plus tard.</t>
        </is>
      </c>
      <c r="H11" s="5" t="inlineStr">
        <is>
          <t>Exports à régénérer une fois la charte fournie.</t>
        </is>
      </c>
      <c r="I11" s="5" t="inlineStr">
        <is>
          <t>en attente</t>
        </is>
      </c>
    </row>
    <row r="12">
      <c r="A12" s="4" t="inlineStr">
        <is>
          <t>H-008</t>
        </is>
      </c>
      <c r="B12" s="4" t="inlineStr">
        <is>
          <t>P9-T02</t>
        </is>
      </c>
      <c r="C12" s="4" t="inlineStr">
        <is>
          <t>OUVERTE</t>
        </is>
      </c>
      <c r="D12" s="4" t="inlineStr">
        <is>
          <t>non</t>
        </is>
      </c>
      <c r="E12" s="4" t="inlineStr">
        <is>
          <t>2026-10-16 10:54</t>
        </is>
      </c>
      <c r="F12" s="5" t="inlineStr">
        <is>
          <t>Les pièces jointes doivent-elles passer par un antivirus ?</t>
        </is>
      </c>
      <c r="G12" s="5" t="inlineStr">
        <is>
          <t>Point d'extension IAnalyseurFichier ; implémentation ClamAV (conteneur) optionnelle, désactivée en développement.</t>
        </is>
      </c>
      <c r="H12" s="5" t="inlineStr">
        <is>
          <t>Sans antivirus, risque de dépôt de fichiers malveillants en production.</t>
        </is>
      </c>
      <c r="I12" s="5" t="inlineStr">
        <is>
          <t>en attente</t>
        </is>
      </c>
    </row>
    <row r="13">
      <c r="A13" s="4" t="inlineStr">
        <is>
          <t>H-009</t>
        </is>
      </c>
      <c r="B13" s="4" t="inlineStr">
        <is>
          <t>P10-T07</t>
        </is>
      </c>
      <c r="C13" s="4" t="inlineStr">
        <is>
          <t>OUVERTE</t>
        </is>
      </c>
      <c r="D13" s="4" t="inlineStr">
        <is>
          <t>non</t>
        </is>
      </c>
      <c r="E13" s="4" t="inlineStr">
        <is>
          <t>2026-10-16 10:54</t>
        </is>
      </c>
      <c r="F13" s="5" t="inlineStr">
        <is>
          <t>Quelle bibliothèque pour l'éditeur visuel MCD / classes ?</t>
        </is>
      </c>
      <c r="G13" s="5" t="inlineStr">
        <is>
          <t>JointJS core (MPL-2.0) via JS Interop.</t>
        </is>
      </c>
      <c r="H13" s="5" t="inlineStr">
        <is>
          <t>Si refusée, alternative Drawflow (MIT) avec plus de développement.</t>
        </is>
      </c>
      <c r="I13" s="5" t="inlineStr">
        <is>
          <t>en attente</t>
        </is>
      </c>
    </row>
    <row r="14">
      <c r="A14" s="4" t="inlineStr">
        <is>
          <t>H-010</t>
        </is>
      </c>
      <c r="B14" s="4" t="inlineStr">
        <is>
          <t>P10-T08</t>
        </is>
      </c>
      <c r="C14" s="4" t="inlineStr">
        <is>
          <t>OUVERTE</t>
        </is>
      </c>
      <c r="D14" s="4" t="inlineStr">
        <is>
          <t>non</t>
        </is>
      </c>
      <c r="E14" s="4" t="inlineStr">
        <is>
          <t>2026-10-16 10:54</t>
        </is>
      </c>
      <c r="F14" s="5" t="inlineStr">
        <is>
          <t>bpmn-js impose de conserver le filigrane bpmn.io : est-ce acceptable ?</t>
        </is>
      </c>
      <c r="G14" s="5" t="inlineStr">
        <is>
          <t>Oui, filigrane conservé conformément à la licence.</t>
        </is>
      </c>
      <c r="H14" s="5" t="inlineStr">
        <is>
          <t>Sinon, BPMN limité à un rendu texte / Mermaid.</t>
        </is>
      </c>
      <c r="I14" s="5" t="inlineStr">
        <is>
          <t>en attente</t>
        </is>
      </c>
    </row>
    <row r="15">
      <c r="A15" s="4" t="inlineStr">
        <is>
          <t>H-011</t>
        </is>
      </c>
      <c r="B15" s="4" t="inlineStr">
        <is>
          <t>P12-T01</t>
        </is>
      </c>
      <c r="C15" s="4" t="inlineStr">
        <is>
          <t>OUVERTE</t>
        </is>
      </c>
      <c r="D15" s="4" t="inlineStr">
        <is>
          <t>non</t>
        </is>
      </c>
      <c r="E15" s="4" t="inlineStr">
        <is>
          <t>2026-10-16 10:54</t>
        </is>
      </c>
      <c r="F15" s="5" t="inlineStr">
        <is>
          <t>URL GitLab et jeton technique (portée api) pour l'intégration réelle ?</t>
        </is>
      </c>
      <c r="G15" s="5" t="inlineStr">
        <is>
          <t>Développement et tests sur serveur GitLab simulé ; l'URL et le jeton seront fournis via la configuration sécurisée avant la recette.</t>
        </is>
      </c>
      <c r="H15" s="5" t="inlineStr">
        <is>
          <t>Intégration non testée de bout en bout tant que l'instance n'est pas fournie.</t>
        </is>
      </c>
      <c r="I15" s="5" t="inlineStr">
        <is>
          <t>en attente</t>
        </is>
      </c>
    </row>
    <row r="16">
      <c r="A16" s="4" t="inlineStr">
        <is>
          <t>H-012</t>
        </is>
      </c>
      <c r="B16" s="4" t="inlineStr">
        <is>
          <t>P15-T03</t>
        </is>
      </c>
      <c r="C16" s="4" t="inlineStr">
        <is>
          <t>OUVERTE</t>
        </is>
      </c>
      <c r="D16" s="4" t="inlineStr">
        <is>
          <t>non</t>
        </is>
      </c>
      <c r="E16" s="4" t="inlineStr">
        <is>
          <t>2026-10-16 10:54</t>
        </is>
      </c>
      <c r="F16" s="5" t="inlineStr">
        <is>
          <t>Une instance SonarQube est-elle disponible ?</t>
        </is>
      </c>
      <c r="G16" s="5" t="inlineStr">
        <is>
          <t>Intégration optionnelle, désactivée si aucune URL n'est configurée.</t>
        </is>
      </c>
      <c r="H16" s="5" t="inlineStr">
        <is>
          <t>Indicateurs de dette technique absents.</t>
        </is>
      </c>
      <c r="I16" s="5" t="inlineStr">
        <is>
          <t>en attente</t>
        </is>
      </c>
    </row>
    <row r="17">
      <c r="A17" s="4" t="inlineStr">
        <is>
          <t>H-013</t>
        </is>
      </c>
      <c r="B17" s="4" t="inlineStr">
        <is>
          <t>P18-T01</t>
        </is>
      </c>
      <c r="C17" s="4" t="inlineStr">
        <is>
          <t>OUVERTE</t>
        </is>
      </c>
      <c r="D17" s="4" t="inlineStr">
        <is>
          <t>oui</t>
        </is>
      </c>
      <c r="E17" s="4" t="inlineStr">
        <is>
          <t>2026-10-16 10:54</t>
        </is>
      </c>
      <c r="F17" s="5" t="inlineStr">
        <is>
          <t>Paramètres de l'annuaire AD / LDAP : URL, base DN, compte de service, groupes à mapper vers les rôles, attribut portant le matricule ?</t>
        </is>
      </c>
      <c r="G17" s="5" t="inlineStr">
        <is>
          <t>Aucune : ces valeurs ne peuvent pas être devinées.</t>
        </is>
      </c>
      <c r="H17" s="5" t="inlineStr">
        <is>
          <t>Fédération Keycloak impossible sans elles.</t>
        </is>
      </c>
      <c r="I17" s="5" t="inlineStr">
        <is>
          <t>en attente</t>
        </is>
      </c>
    </row>
    <row r="18">
      <c r="A18" s="4" t="inlineStr">
        <is>
          <t>H-014</t>
        </is>
      </c>
      <c r="B18" s="4" t="inlineStr">
        <is>
          <t>P2-T02</t>
        </is>
      </c>
      <c r="C18" s="4" t="inlineStr">
        <is>
          <t>REPONDUE</t>
        </is>
      </c>
      <c r="D18" s="4" t="inlineStr">
        <is>
          <t>non</t>
        </is>
      </c>
      <c r="E18" s="4" t="inlineStr">
        <is>
          <t>2026-10-16 11:31</t>
        </is>
      </c>
      <c r="F18" s="5" t="inlineStr">
        <is>
          <t>La charte HCP utilise des couleurs de texte sous le seuil RGAA/WCAG (text-tertiary 2,5:1, success 2,5:1, warning 2,2:1, danger 3,8:1, blue 3,7:1, purple 4,2:1). Accepte-t-on des variantes foncées réservées au texte, ajoutées dans app.gp.css sans toucher à app.css ?</t>
        </is>
      </c>
      <c r="G18" s="5" t="inlineStr">
        <is>
          <t>Oui : --success-text #047857, --warning-text #B45309, --danger-text #B91C1C, --info-text #1D4ED8, --purple-text #6D28D9 (toutes ≥ 4,5:1 sur le fond du badge) ; couleurs d'origine conservées pour pastilles, barres, bordures et icônes ; text-tertiary réservé au décoratif.</t>
        </is>
      </c>
      <c r="H18" s="5" t="inlineStr">
        <is>
          <t>Si refusé : badges et petits textes de statut non conformes RGAA, la phase P17 (0 violation axe) ne pourra pas être validée.</t>
        </is>
      </c>
      <c r="I18" s="5" t="inlineStr">
        <is>
          <t>34) : Oui, variantes de texte accessibles validées</t>
        </is>
      </c>
    </row>
    <row r="19">
      <c r="A19" s="4" t="inlineStr">
        <is>
          <t>H-015</t>
        </is>
      </c>
      <c r="B19" s="4" t="inlineStr">
        <is>
          <t>P0-T02</t>
        </is>
      </c>
      <c r="C19" s="4" t="inlineStr">
        <is>
          <t>OUVERTE</t>
        </is>
      </c>
      <c r="D19" s="4" t="inlineStr">
        <is>
          <t>non</t>
        </is>
      </c>
      <c r="E19" s="4" t="inlineStr">
        <is>
          <t>2026-10-16 11:51</t>
        </is>
      </c>
      <c r="F19" s="5" t="inlineStr">
        <is>
          <t>Que faire si PG_BIN pointe vers un dossier sans binaires PostgreSQL ?</t>
        </is>
      </c>
      <c r="G19" s="5" t="inlineStr">
        <is>
          <t>PG_BIN est exclusif dans verifier-env.py (pas de repli), sinon le cas test PG_BIN vide ne peut jamais sortir en 1 ici</t>
        </is>
      </c>
      <c r="H19" s="5" t="inlineStr">
        <is>
          <t>pg-test.py retombe sur les chemins par défaut : comportement différent entre les deux scripts</t>
        </is>
      </c>
      <c r="I19" s="5" t="inlineStr">
        <is>
          <t>en attente</t>
        </is>
      </c>
    </row>
    <row r="20">
      <c r="A20" s="4" t="inlineStr">
        <is>
          <t>H-016</t>
        </is>
      </c>
      <c r="B20" s="4" t="inlineStr">
        <is>
          <t>P0-T03</t>
        </is>
      </c>
      <c r="C20" s="4" t="inlineStr">
        <is>
          <t>OUVERTE</t>
        </is>
      </c>
      <c r="D20" s="4" t="inlineStr">
        <is>
          <t>non</t>
        </is>
      </c>
      <c r="E20" s="4" t="inlineStr">
        <is>
          <t>2026-10-16 11:52</t>
        </is>
      </c>
      <c r="F20" s="5" t="inlineStr">
        <is>
          <t>database/03-tests-integrite.sql compte-t-il 13 blocs ERREUR + 5 OK comme l'indique la tâche ?</t>
        </is>
      </c>
      <c r="G20" s="5" t="inlineStr">
        <is>
          <t>Il contient 12 ERREUR + 6 OK (total 18 conforme) ; la répartition 13+5 est une erreur de décompte, seul le total compte</t>
        </is>
      </c>
      <c r="H20" s="5" t="inlineStr">
        <is>
          <t>Si faux, un bloc attendu ERREUR manquerait dans le fichier 03</t>
        </is>
      </c>
      <c r="I20" s="5" t="inlineStr">
        <is>
          <t>en attente</t>
        </is>
      </c>
    </row>
    <row r="21">
      <c r="A21" s="4" t="inlineStr">
        <is>
          <t>H-017</t>
        </is>
      </c>
      <c r="B21" s="4" t="inlineStr">
        <is>
          <t>P0-T04</t>
        </is>
      </c>
      <c r="C21" s="4" t="inlineStr">
        <is>
          <t>REPONDUE</t>
        </is>
      </c>
      <c r="D21" s="4" t="inlineStr">
        <is>
          <t>non</t>
        </is>
      </c>
      <c r="E21" s="4" t="inlineStr">
        <is>
          <t>2026-10-16 11:55</t>
        </is>
      </c>
      <c r="F21" s="5" t="inlineStr">
        <is>
          <t>FluentAssertions 8.x (licence commerciale Xceed) est-il acceptable pour un projet d'État ?</t>
        </is>
      </c>
      <c r="G21" s="5" t="inlineStr">
        <is>
          <t>Version 8.11.0 retenue pour l'instant ; si la licence pose problème, épingler 7.x (Apache 2.0) dans Directory.Packages.props</t>
        </is>
      </c>
      <c r="H21" s="5" t="inlineStr">
        <is>
          <t>Aucun avant l'écriture des premiers tests (P0-T05+ ou P1)</t>
        </is>
      </c>
      <c r="I21" s="5" t="inlineStr">
        <is>
          <t>51) : Non : épingler FluentAssertions 7.x (Apache 2.0), pas de licence commerciale</t>
        </is>
      </c>
    </row>
    <row r="22">
      <c r="A22" s="4" t="inlineStr">
        <is>
          <t>H-018</t>
        </is>
      </c>
      <c r="B22" s="4" t="inlineStr">
        <is>
          <t>P0-T06</t>
        </is>
      </c>
      <c r="C22" s="4" t="inlineStr">
        <is>
          <t>OUVERTE</t>
        </is>
      </c>
      <c r="D22" s="4" t="inlineStr">
        <is>
          <t>non</t>
        </is>
      </c>
      <c r="E22" s="4" t="inlineStr">
        <is>
          <t>2026-10-16 11:58</t>
        </is>
      </c>
      <c r="F22" s="5" t="inlineStr">
        <is>
          <t>graphify (CLI, paquet PyPI graphifyy) est absent du poste et uv (requis pour l'installer) est absent aussi : faut-il les installer maintenant pour le graphe de connaissances du code ?</t>
        </is>
      </c>
      <c r="G22" s="5" t="inlineStr">
        <is>
          <t>Ne pas installer maintenant : graphify n'est utile qu'à partir de la première phase qui produit du code (P1). Installation prévue via scripts/installer-outils.ps1 (étapes uv puis uv tool install graphifyy, puis graphify install --project) avant P1 ; en attendant, la recherche se fait par Grep/Explore.</t>
        </is>
      </c>
      <c r="H22" s="5" t="inlineStr">
        <is>
          <t>Sans graphify, les requêtes 'graphify query' de CLAUDE.md ne fonctionnent pas : le repérage du code se fait par recherche classique (plus lent, plus de tokens). Aucun blocage de P0.</t>
        </is>
      </c>
      <c r="I22" s="5" t="inlineStr">
        <is>
          <t>en attente</t>
        </is>
      </c>
    </row>
    <row r="23">
      <c r="A23" s="4" t="inlineStr">
        <is>
          <t>H-019</t>
        </is>
      </c>
      <c r="B23" s="4" t="inlineStr">
        <is>
          <t>P1-T02</t>
        </is>
      </c>
      <c r="C23" s="4" t="inlineStr">
        <is>
          <t>OUVERTE</t>
        </is>
      </c>
      <c r="D23" s="4" t="inlineStr">
        <is>
          <t>non</t>
        </is>
      </c>
      <c r="E23" s="4" t="inlineStr">
        <is>
          <t>2026-10-16 13:01</t>
        </is>
      </c>
      <c r="F23" s="5" t="inlineStr">
        <is>
          <t>Comment reconnaître un contrôleur, et la liste blanche System.* de Contracts suffit-elle ?</t>
        </is>
      </c>
      <c r="G23" s="5" t="inlineStr">
        <is>
          <t>Contrôleur = hérite de ControllerBase ou nom en *Controller ; Contracts autorise tout System.* (les API absentes du navigateur ne sont pas détectées, la compilation du front en P2 servira de seconde garde)</t>
        </is>
      </c>
      <c r="H23" s="5" t="inlineStr">
        <is>
          <t>Des endpoints minimal API échapperaient à la règle ; une API System non disponible en WASM serait détectée seulement à la compilation du front</t>
        </is>
      </c>
      <c r="I23" s="5" t="inlineStr">
        <is>
          <t>en attente</t>
        </is>
      </c>
    </row>
    <row r="24">
      <c r="A24" s="4" t="inlineStr">
        <is>
          <t>H-020</t>
        </is>
      </c>
      <c r="B24" s="4" t="inlineStr">
        <is>
          <t>P1-T03</t>
        </is>
      </c>
      <c r="C24" s="4" t="inlineStr">
        <is>
          <t>OUVERTE</t>
        </is>
      </c>
      <c r="D24" s="4" t="inlineStr">
        <is>
          <t>non</t>
        </is>
      </c>
      <c r="E24" s="4" t="inlineStr">
        <is>
          <t>2026-10-16 13:05</t>
        </is>
      </c>
      <c r="F24" s="5" t="inlineStr">
        <is>
          <t>Dans quel fuseau calcule-t-on la date du jour (saisie des temps, échéances) ?</t>
        </is>
      </c>
      <c r="G24" s="5" t="inlineStr">
        <is>
          <t>Fuseau Africa/Casablanca (HCP) ; IHorloge.Aujourdhui est calculé dans ce fuseau, Maintenant reste en UTC</t>
        </is>
      </c>
      <c r="H24" s="5" t="inlineStr">
        <is>
          <t>Si un autre fuseau est attendu, changer la valeur passée à HorlogeSysteme ; en UTC pur, les saisies entre minuit et 1 h seraient datées de la veille</t>
        </is>
      </c>
      <c r="I24" s="5" t="inlineStr">
        <is>
          <t>en attente</t>
        </is>
      </c>
    </row>
    <row r="25">
      <c r="A25" s="4" t="inlineStr">
        <is>
          <t>H-021</t>
        </is>
      </c>
      <c r="B25" s="4" t="inlineStr">
        <is>
          <t>P1-T04</t>
        </is>
      </c>
      <c r="C25" s="4" t="inlineStr">
        <is>
          <t>OUVERTE</t>
        </is>
      </c>
      <c r="D25" s="4" t="inlineStr">
        <is>
          <t>non</t>
        </is>
      </c>
      <c r="E25" s="4" t="inlineStr">
        <is>
          <t>2026-10-16 13:15</t>
        </is>
      </c>
      <c r="F25" s="5" t="inlineStr">
        <is>
          <t>patte.card_min (CHECK IN numérique 0,1) et correspondance_type.type_logique (sans CHECK) doivent-ils devenir des énumérations ?</t>
        </is>
      </c>
      <c r="G25" s="5" t="inlineStr">
        <is>
          <t>Non : card_min reste short, correspondance_type.type_logique reste string ; seuls les CHECK IN à valeurs texte deviennent des enums (49 enums, 54 contraintes contrôlées)</t>
        </is>
      </c>
      <c r="H25" s="5" t="inlineStr">
        <is>
          <t>Si faux : créer CardinaliteMin et/ou ajouter le CHECK au SQL puis typer en TypeLogique</t>
        </is>
      </c>
      <c r="I25" s="5" t="inlineStr">
        <is>
          <t>en attente</t>
        </is>
      </c>
    </row>
    <row r="26">
      <c r="A26" s="4" t="inlineStr">
        <is>
          <t>H-022</t>
        </is>
      </c>
      <c r="B26" s="4" t="inlineStr">
        <is>
          <t>P1-T05</t>
        </is>
      </c>
      <c r="C26" s="4" t="inlineStr">
        <is>
          <t>OUVERTE</t>
        </is>
      </c>
      <c r="D26" s="4" t="inlineStr">
        <is>
          <t>non</t>
        </is>
      </c>
      <c r="E26" s="4" t="inlineStr">
        <is>
          <t>2026-10-16 13:27</t>
        </is>
      </c>
      <c r="F26" s="5" t="inlineStr">
        <is>
          <t>Comment reproduire l'index sur expression ux_agent_email (lower(email)) et le trigger de lecture seule de commun.historique, non modélisables par EF ?</t>
        </is>
      </c>
      <c r="G26" s="5" t="inlineStr">
        <is>
          <t>Le modèle EF déclare ux_agent_email sur email (shortcut commenté) ; la migration initiale P1-T06 recrée l'index sur lower(email) et le trigger tg_historique_lecture_seule en SQL brut</t>
        </is>
      </c>
      <c r="H26" s="5" t="inlineStr">
        <is>
          <t>Si oublié en P1-T06 : unicité de l'email sensible à la casse et journal d'historique modifiable</t>
        </is>
      </c>
      <c r="I26" s="5" t="inlineStr">
        <is>
          <t>en attente</t>
        </is>
      </c>
    </row>
    <row r="27">
      <c r="A27" s="4" t="inlineStr">
        <is>
          <t>H-023</t>
        </is>
      </c>
      <c r="B27" s="4" t="inlineStr">
        <is>
          <t>P1-T06</t>
        </is>
      </c>
      <c r="C27" s="4" t="inlineStr">
        <is>
          <t>OUVERTE</t>
        </is>
      </c>
      <c r="D27" s="4" t="inlineStr">
        <is>
          <t>non</t>
        </is>
      </c>
      <c r="E27" s="4" t="inlineStr">
        <is>
          <t>2026-10-16 14:45</t>
        </is>
      </c>
      <c r="F27" s="5" t="inlineStr">
        <is>
          <t>La comparaison de schéma doit-elle couvrir l'ordre des colonnes et le contenu des données de référence ?</t>
        </is>
      </c>
      <c r="G27" s="5" t="inlineStr">
        <is>
          <t>Non : type, nullabilité, défaut, contraintes, index, triggers, fonctions et nombre de lignes par table suffisent ; les données sont une copie figée de 02 embarquée dans la migration</t>
        </is>
      </c>
      <c r="H27" s="5" t="inlineStr">
        <is>
          <t>Une différence d'ordre de colonnes ou de valeurs (même nombre de lignes) ne serait pas détectée</t>
        </is>
      </c>
      <c r="I27" s="5" t="inlineStr">
        <is>
          <t>en attente</t>
        </is>
      </c>
    </row>
  </sheetData>
  <conditionalFormatting sqref="C5:C27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90" customWidth="1" min="3" max="3"/>
  </cols>
  <sheetData>
    <row r="1">
      <c r="A1" s="1" t="inlineStr">
        <is>
          <t>Légende et règles</t>
        </is>
      </c>
    </row>
    <row r="3">
      <c r="A3" s="3" t="inlineStr">
        <is>
          <t>Élément</t>
        </is>
      </c>
      <c r="B3" s="3" t="inlineStr">
        <is>
          <t>Valeur</t>
        </is>
      </c>
      <c r="C3" s="3" t="inlineStr">
        <is>
          <t>Signification</t>
        </is>
      </c>
    </row>
    <row r="4">
      <c r="A4" s="5" t="inlineStr">
        <is>
          <t>Statut de tâche</t>
        </is>
      </c>
      <c r="B4" s="4" t="inlineStr">
        <is>
          <t>NON_FAIT</t>
        </is>
      </c>
      <c r="C4" s="5" t="inlineStr">
        <is>
          <t>Pas commencée.</t>
        </is>
      </c>
    </row>
    <row r="5">
      <c r="A5" s="5" t="inlineStr">
        <is>
          <t>Statut de tâche</t>
        </is>
      </c>
      <c r="B5" s="4" t="inlineStr">
        <is>
          <t>EN_COURS</t>
        </is>
      </c>
      <c r="C5" s="5" t="inlineStr">
        <is>
          <t>En cours d'exécution par Claude (une seule à la fois).</t>
        </is>
      </c>
    </row>
    <row r="6">
      <c r="A6" s="5" t="inlineStr">
        <is>
          <t>Statut de tâche</t>
        </is>
      </c>
      <c r="B6" s="4" t="inlineStr">
        <is>
          <t>A_VALIDER</t>
        </is>
      </c>
      <c r="C6" s="5" t="inlineStr">
        <is>
          <t>Terminée par Claude, test de validation réussi et rejoué par le vérificateur.</t>
        </is>
      </c>
    </row>
    <row r="7">
      <c r="A7" s="5" t="inlineStr">
        <is>
          <t>Statut de tâche</t>
        </is>
      </c>
      <c r="B7" s="4" t="inlineStr">
        <is>
          <t>VALIDE</t>
        </is>
      </c>
      <c r="C7" s="5" t="inlineStr">
        <is>
          <t>Validée par l'utilisateur avec la phase (/valider-phase).</t>
        </is>
      </c>
    </row>
    <row r="8">
      <c r="A8" s="5" t="inlineStr">
        <is>
          <t>Statut de tâche</t>
        </is>
      </c>
      <c r="B8" s="4" t="inlineStr">
        <is>
          <t>BLOQUE</t>
        </is>
      </c>
      <c r="C8" s="5" t="inlineStr">
        <is>
          <t>En attente de la réponse à une hypothèse bloquante (/repondre-hypothese).</t>
        </is>
      </c>
    </row>
    <row r="9">
      <c r="A9" s="5" t="inlineStr">
        <is>
          <t>Statut de phase</t>
        </is>
      </c>
      <c r="B9" s="4" t="inlineStr">
        <is>
          <t>NON_DEMARREE</t>
        </is>
      </c>
      <c r="C9" s="5" t="inlineStr">
        <is>
          <t>Pas lancée. Se lance avec /lancer-phase quand la précédente est VALIDEE.</t>
        </is>
      </c>
    </row>
    <row r="10">
      <c r="A10" s="5" t="inlineStr">
        <is>
          <t>Statut de phase</t>
        </is>
      </c>
      <c r="B10" s="4" t="inlineStr">
        <is>
          <t>EN_COURS</t>
        </is>
      </c>
      <c r="C10" s="5" t="inlineStr">
        <is>
          <t>Claude exécute les tâches de façon autonome.</t>
        </is>
      </c>
    </row>
    <row r="11">
      <c r="A11" s="5" t="inlineStr">
        <is>
          <t>Statut de phase</t>
        </is>
      </c>
      <c r="B11" s="4" t="inlineStr">
        <is>
          <t>A_VALIDER</t>
        </is>
      </c>
      <c r="C11" s="5" t="inlineStr">
        <is>
          <t>Toutes les tâches sont A_VALIDER : Claude attend votre validation.</t>
        </is>
      </c>
    </row>
    <row r="12">
      <c r="A12" s="5" t="inlineStr">
        <is>
          <t>Statut de phase</t>
        </is>
      </c>
      <c r="B12" s="4" t="inlineStr">
        <is>
          <t>VALIDEE</t>
        </is>
      </c>
      <c r="C12" s="5" t="inlineStr">
        <is>
          <t>Validée par l'utilisateur.</t>
        </is>
      </c>
    </row>
    <row r="13">
      <c r="A13" s="5" t="inlineStr">
        <is>
          <t>Modèle</t>
        </is>
      </c>
      <c r="B13" s="4" t="inlineStr">
        <is>
          <t>opus</t>
        </is>
      </c>
      <c r="C13" s="5" t="inlineStr">
        <is>
          <t>Tâche complexe : architecture, sécurité, algorithmes, générateur.</t>
        </is>
      </c>
    </row>
    <row r="14">
      <c r="A14" s="5" t="inlineStr">
        <is>
          <t>Modèle</t>
        </is>
      </c>
      <c r="B14" s="4" t="inlineStr">
        <is>
          <t>sonnet</t>
        </is>
      </c>
      <c r="C14" s="5" t="inlineStr">
        <is>
          <t>Tâche moyenne : CRUD, pages, services, intégrations.</t>
        </is>
      </c>
    </row>
    <row r="15">
      <c r="A15" s="5" t="inlineStr">
        <is>
          <t>Modèle</t>
        </is>
      </c>
      <c r="B15" s="4" t="inlineStr">
        <is>
          <t>haiku</t>
        </is>
      </c>
      <c r="C15" s="5" t="inlineStr">
        <is>
          <t>Tâche simple : configuration, données, documentation.</t>
        </is>
      </c>
    </row>
    <row r="16">
      <c r="A16" s="5" t="inlineStr">
        <is>
          <t>Ordre</t>
        </is>
      </c>
      <c r="B16" s="4" t="inlineStr">
        <is>
          <t>Ordre / Dépend de</t>
        </is>
      </c>
      <c r="C16" s="5" t="inlineStr">
        <is>
          <t>Une tâche ne démarre que si ses dépendances sont A_VALIDER ou VALIDE ; sinon l'ordre de la phase.</t>
        </is>
      </c>
    </row>
    <row r="17">
      <c r="A17" s="5" t="inlineStr">
        <is>
          <t>Fichier</t>
        </is>
      </c>
      <c r="B17" s="4" t="inlineStr">
        <is>
          <t>BACKLOG.xlsx</t>
        </is>
      </c>
      <c r="C17" s="5" t="inlineStr">
        <is>
          <t>Vue générée depuis backlog/BACKLOG.md à chaque changement. Toute modification manuelle est écrasée.</t>
        </is>
      </c>
    </row>
  </sheetData>
  <conditionalFormatting sqref="B4:B17">
    <cfRule type="cellIs" priority="1" operator="equal" dxfId="0">
      <formula>"NON_FAIT"</formula>
    </cfRule>
    <cfRule type="cellIs" priority="2" operator="equal" dxfId="0">
      <formula>"NON_DEMARREE"</formula>
    </cfRule>
    <cfRule type="cellIs" priority="3" operator="equal" dxfId="1">
      <formula>"EN_COURS"</formula>
    </cfRule>
    <cfRule type="cellIs" priority="4" operator="equal" dxfId="2">
      <formula>"A_VALIDER"</formula>
    </cfRule>
    <cfRule type="cellIs" priority="5" operator="equal" dxfId="3">
      <formula>"VALIDE"</formula>
    </cfRule>
    <cfRule type="cellIs" priority="6" operator="equal" dxfId="3">
      <formula>"VALIDEE"</formula>
    </cfRule>
    <cfRule type="cellIs" priority="7" operator="equal" dxfId="4">
      <formula>"BLOQUE"</formula>
    </cfRule>
    <cfRule type="cellIs" priority="8" operator="equal" dxfId="4">
      <formula>"OUVERTE"</formula>
    </cfRule>
    <cfRule type="cellIs" priority="9" operator="equal" dxfId="3">
      <formula>"REPONDUE"</formula>
    </cfRule>
    <cfRule type="cellIs" priority="10" operator="equal" dxfId="5">
      <formula>"opus"</formula>
    </cfRule>
    <cfRule type="cellIs" priority="11" operator="equal" dxfId="1">
      <formula>"sonnet"</formula>
    </cfRule>
    <cfRule type="cellIs" priority="12" operator="equal" dxfId="3">
      <formula>"haiku"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2026-10-16T14:45:07Z</dcterms:created>
  <dcterms:modified xmlns:dcterms="http://purl.org/dc/terms/" xmlns:xsi="http://www.w3.org/2001/XMLSchema-instance" xsi:type="dcterms:W3CDTF">2026-10-16T14:45:07Z</dcterms:modified>
</cp:coreProperties>
</file>